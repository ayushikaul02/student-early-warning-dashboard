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B58C756-4392-4261-8011-22D73470A5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udent_Data" sheetId="1" r:id="rId1"/>
    <sheet name="Academic_Overview" sheetId="3" r:id="rId2"/>
    <sheet name="Risk Factor" sheetId="4" r:id="rId3"/>
    <sheet name="Performance Risk Index" sheetId="5" r:id="rId4"/>
    <sheet name="Intervention Simulator" sheetId="7" r:id="rId5"/>
    <sheet name="Ethics &amp; Safeguards" sheetId="8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" i="1" l="1"/>
  <c r="AQ2" i="1" s="1"/>
  <c r="AP3" i="1"/>
  <c r="AQ3" i="1" s="1"/>
  <c r="AP4" i="1"/>
  <c r="AQ4" i="1" s="1"/>
  <c r="AP5" i="1"/>
  <c r="AQ5" i="1" s="1"/>
  <c r="AP6" i="1"/>
  <c r="AQ6" i="1" s="1"/>
  <c r="AP7" i="1"/>
  <c r="AQ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Q28" i="1" s="1"/>
  <c r="AP29" i="1"/>
  <c r="AQ29" i="1" s="1"/>
  <c r="AP30" i="1"/>
  <c r="AQ30" i="1" s="1"/>
  <c r="AP31" i="1"/>
  <c r="AQ31" i="1" s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Q39" i="1" s="1"/>
  <c r="AP40" i="1"/>
  <c r="AQ40" i="1" s="1"/>
  <c r="AP41" i="1"/>
  <c r="AQ41" i="1" s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Q49" i="1" s="1"/>
  <c r="AP50" i="1"/>
  <c r="AQ50" i="1" s="1"/>
  <c r="AP51" i="1"/>
  <c r="AQ51" i="1" s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1" i="1"/>
  <c r="AQ61" i="1" s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Q68" i="1" s="1"/>
  <c r="AP69" i="1"/>
  <c r="AQ69" i="1" s="1"/>
  <c r="AP70" i="1"/>
  <c r="AQ70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AP103" i="1"/>
  <c r="AQ103" i="1" s="1"/>
  <c r="AP104" i="1"/>
  <c r="AQ104" i="1" s="1"/>
  <c r="AP105" i="1"/>
  <c r="AQ105" i="1" s="1"/>
  <c r="AP106" i="1"/>
  <c r="AQ106" i="1" s="1"/>
  <c r="AP107" i="1"/>
  <c r="AQ107" i="1" s="1"/>
  <c r="AP108" i="1"/>
  <c r="AQ108" i="1" s="1"/>
  <c r="AP109" i="1"/>
  <c r="AQ109" i="1" s="1"/>
  <c r="AP110" i="1"/>
  <c r="AQ110" i="1" s="1"/>
  <c r="AP111" i="1"/>
  <c r="AQ111" i="1" s="1"/>
  <c r="AP112" i="1"/>
  <c r="AQ112" i="1" s="1"/>
  <c r="AP113" i="1"/>
  <c r="AQ113" i="1" s="1"/>
  <c r="AP114" i="1"/>
  <c r="AQ114" i="1" s="1"/>
  <c r="AP115" i="1"/>
  <c r="AQ115" i="1" s="1"/>
  <c r="AP116" i="1"/>
  <c r="AQ116" i="1" s="1"/>
  <c r="AP117" i="1"/>
  <c r="AQ117" i="1" s="1"/>
  <c r="AP118" i="1"/>
  <c r="AQ118" i="1" s="1"/>
  <c r="AP119" i="1"/>
  <c r="AQ119" i="1" s="1"/>
  <c r="AP120" i="1"/>
  <c r="AQ120" i="1" s="1"/>
  <c r="AP121" i="1"/>
  <c r="AQ121" i="1" s="1"/>
  <c r="AP122" i="1"/>
  <c r="AQ122" i="1" s="1"/>
  <c r="AP123" i="1"/>
  <c r="AQ123" i="1" s="1"/>
  <c r="AP124" i="1"/>
  <c r="AQ124" i="1" s="1"/>
  <c r="AP125" i="1"/>
  <c r="AQ125" i="1" s="1"/>
  <c r="AP126" i="1"/>
  <c r="AQ126" i="1" s="1"/>
  <c r="AP127" i="1"/>
  <c r="AQ127" i="1" s="1"/>
  <c r="AP128" i="1"/>
  <c r="AQ128" i="1" s="1"/>
  <c r="AP129" i="1"/>
  <c r="AQ129" i="1" s="1"/>
  <c r="AP130" i="1"/>
  <c r="AQ130" i="1" s="1"/>
  <c r="AP131" i="1"/>
  <c r="AQ131" i="1" s="1"/>
  <c r="AP132" i="1"/>
  <c r="AQ132" i="1" s="1"/>
  <c r="AP133" i="1"/>
  <c r="AQ133" i="1" s="1"/>
  <c r="AP134" i="1"/>
  <c r="AQ134" i="1" s="1"/>
  <c r="AP135" i="1"/>
  <c r="AQ135" i="1" s="1"/>
  <c r="AP136" i="1"/>
  <c r="AQ136" i="1" s="1"/>
  <c r="AP137" i="1"/>
  <c r="AQ137" i="1" s="1"/>
  <c r="AP138" i="1"/>
  <c r="AQ138" i="1" s="1"/>
  <c r="AP139" i="1"/>
  <c r="AQ139" i="1" s="1"/>
  <c r="AP140" i="1"/>
  <c r="AQ140" i="1" s="1"/>
  <c r="AP141" i="1"/>
  <c r="AQ141" i="1" s="1"/>
  <c r="AP142" i="1"/>
  <c r="AQ142" i="1" s="1"/>
  <c r="AP143" i="1"/>
  <c r="AQ143" i="1" s="1"/>
  <c r="AP144" i="1"/>
  <c r="AQ144" i="1" s="1"/>
  <c r="AP145" i="1"/>
  <c r="AQ145" i="1" s="1"/>
  <c r="AP146" i="1"/>
  <c r="AQ146" i="1" s="1"/>
  <c r="AP147" i="1"/>
  <c r="AQ147" i="1" s="1"/>
  <c r="AP148" i="1"/>
  <c r="AQ148" i="1" s="1"/>
  <c r="AP149" i="1"/>
  <c r="AQ149" i="1" s="1"/>
  <c r="AP150" i="1"/>
  <c r="AQ150" i="1" s="1"/>
  <c r="AP151" i="1"/>
  <c r="AQ151" i="1" s="1"/>
  <c r="AP152" i="1"/>
  <c r="AQ152" i="1" s="1"/>
  <c r="AP153" i="1"/>
  <c r="AQ153" i="1" s="1"/>
  <c r="AP154" i="1"/>
  <c r="AQ154" i="1" s="1"/>
  <c r="AP155" i="1"/>
  <c r="AQ155" i="1" s="1"/>
  <c r="AP156" i="1"/>
  <c r="AQ156" i="1" s="1"/>
  <c r="AP157" i="1"/>
  <c r="AQ157" i="1" s="1"/>
  <c r="AP158" i="1"/>
  <c r="AQ158" i="1" s="1"/>
  <c r="AP159" i="1"/>
  <c r="AQ159" i="1" s="1"/>
  <c r="AP160" i="1"/>
  <c r="AQ160" i="1" s="1"/>
  <c r="AP161" i="1"/>
  <c r="AQ161" i="1" s="1"/>
  <c r="AP162" i="1"/>
  <c r="AQ162" i="1" s="1"/>
  <c r="AP163" i="1"/>
  <c r="AQ163" i="1" s="1"/>
  <c r="AP164" i="1"/>
  <c r="AQ164" i="1" s="1"/>
  <c r="AP165" i="1"/>
  <c r="AQ165" i="1" s="1"/>
  <c r="AP166" i="1"/>
  <c r="AQ166" i="1" s="1"/>
  <c r="AP167" i="1"/>
  <c r="AQ167" i="1" s="1"/>
  <c r="AP168" i="1"/>
  <c r="AQ168" i="1" s="1"/>
  <c r="AP169" i="1"/>
  <c r="AQ169" i="1" s="1"/>
  <c r="AP170" i="1"/>
  <c r="AQ170" i="1" s="1"/>
  <c r="AP171" i="1"/>
  <c r="AQ171" i="1" s="1"/>
  <c r="AP172" i="1"/>
  <c r="AQ172" i="1" s="1"/>
  <c r="AP173" i="1"/>
  <c r="AQ173" i="1" s="1"/>
  <c r="AP174" i="1"/>
  <c r="AQ174" i="1" s="1"/>
  <c r="AP175" i="1"/>
  <c r="AQ175" i="1" s="1"/>
  <c r="AP176" i="1"/>
  <c r="AQ176" i="1" s="1"/>
  <c r="AP177" i="1"/>
  <c r="AQ177" i="1" s="1"/>
  <c r="AP178" i="1"/>
  <c r="AQ178" i="1" s="1"/>
  <c r="AP179" i="1"/>
  <c r="AQ179" i="1" s="1"/>
  <c r="AP180" i="1"/>
  <c r="AQ180" i="1" s="1"/>
  <c r="AP181" i="1"/>
  <c r="AQ181" i="1" s="1"/>
  <c r="AP182" i="1"/>
  <c r="AQ182" i="1" s="1"/>
  <c r="AP183" i="1"/>
  <c r="AQ183" i="1" s="1"/>
  <c r="AP184" i="1"/>
  <c r="AQ184" i="1" s="1"/>
  <c r="AP185" i="1"/>
  <c r="AQ185" i="1" s="1"/>
  <c r="AP186" i="1"/>
  <c r="AQ186" i="1" s="1"/>
  <c r="AP187" i="1"/>
  <c r="AQ187" i="1" s="1"/>
  <c r="AP188" i="1"/>
  <c r="AQ188" i="1" s="1"/>
  <c r="AP189" i="1"/>
  <c r="AQ189" i="1" s="1"/>
  <c r="AP190" i="1"/>
  <c r="AQ190" i="1" s="1"/>
  <c r="AP191" i="1"/>
  <c r="AQ191" i="1" s="1"/>
  <c r="AP192" i="1"/>
  <c r="AQ192" i="1" s="1"/>
  <c r="AP193" i="1"/>
  <c r="AQ193" i="1" s="1"/>
  <c r="AP194" i="1"/>
  <c r="AQ194" i="1" s="1"/>
  <c r="AP195" i="1"/>
  <c r="AQ195" i="1" s="1"/>
  <c r="AP196" i="1"/>
  <c r="AQ196" i="1" s="1"/>
  <c r="AP197" i="1"/>
  <c r="AQ197" i="1" s="1"/>
  <c r="AP198" i="1"/>
  <c r="AQ198" i="1" s="1"/>
  <c r="AP199" i="1"/>
  <c r="AQ199" i="1" s="1"/>
  <c r="AP200" i="1"/>
  <c r="AQ200" i="1" s="1"/>
  <c r="AP201" i="1"/>
  <c r="AQ201" i="1" s="1"/>
  <c r="AP202" i="1"/>
  <c r="AQ202" i="1" s="1"/>
  <c r="AP203" i="1"/>
  <c r="AQ203" i="1" s="1"/>
  <c r="AP204" i="1"/>
  <c r="AQ204" i="1" s="1"/>
  <c r="AP205" i="1"/>
  <c r="AQ205" i="1" s="1"/>
  <c r="AP206" i="1"/>
  <c r="AQ206" i="1" s="1"/>
  <c r="AP207" i="1"/>
  <c r="AQ207" i="1" s="1"/>
  <c r="AP208" i="1"/>
  <c r="AQ208" i="1" s="1"/>
  <c r="AP209" i="1"/>
  <c r="AQ209" i="1" s="1"/>
  <c r="AP210" i="1"/>
  <c r="AQ210" i="1" s="1"/>
  <c r="AP211" i="1"/>
  <c r="AQ211" i="1" s="1"/>
  <c r="AP212" i="1"/>
  <c r="AQ212" i="1" s="1"/>
  <c r="AP213" i="1"/>
  <c r="AQ213" i="1" s="1"/>
  <c r="AP214" i="1"/>
  <c r="AQ214" i="1" s="1"/>
  <c r="AP215" i="1"/>
  <c r="AQ215" i="1" s="1"/>
  <c r="AP216" i="1"/>
  <c r="AQ216" i="1" s="1"/>
  <c r="AP217" i="1"/>
  <c r="AQ217" i="1" s="1"/>
  <c r="AP218" i="1"/>
  <c r="AQ218" i="1" s="1"/>
  <c r="AP219" i="1"/>
  <c r="AQ219" i="1" s="1"/>
  <c r="AP220" i="1"/>
  <c r="AQ220" i="1" s="1"/>
  <c r="AP221" i="1"/>
  <c r="AQ221" i="1" s="1"/>
  <c r="AP222" i="1"/>
  <c r="AQ222" i="1" s="1"/>
  <c r="AP223" i="1"/>
  <c r="AQ223" i="1" s="1"/>
  <c r="AP224" i="1"/>
  <c r="AQ224" i="1" s="1"/>
  <c r="AP225" i="1"/>
  <c r="AQ225" i="1" s="1"/>
  <c r="AP226" i="1"/>
  <c r="AQ226" i="1" s="1"/>
  <c r="AP227" i="1"/>
  <c r="AQ227" i="1" s="1"/>
  <c r="AP228" i="1"/>
  <c r="AQ228" i="1" s="1"/>
  <c r="AP229" i="1"/>
  <c r="AQ229" i="1" s="1"/>
  <c r="AP230" i="1"/>
  <c r="AQ230" i="1" s="1"/>
  <c r="AP231" i="1"/>
  <c r="AQ231" i="1" s="1"/>
  <c r="AP232" i="1"/>
  <c r="AQ232" i="1" s="1"/>
  <c r="AP233" i="1"/>
  <c r="AQ233" i="1" s="1"/>
  <c r="AP234" i="1"/>
  <c r="AQ234" i="1" s="1"/>
  <c r="AP235" i="1"/>
  <c r="AQ235" i="1" s="1"/>
  <c r="AP236" i="1"/>
  <c r="AQ236" i="1" s="1"/>
  <c r="AP237" i="1"/>
  <c r="AQ237" i="1" s="1"/>
  <c r="AP238" i="1"/>
  <c r="AQ238" i="1" s="1"/>
  <c r="AP239" i="1"/>
  <c r="AQ239" i="1" s="1"/>
  <c r="AP240" i="1"/>
  <c r="AQ240" i="1" s="1"/>
  <c r="AP241" i="1"/>
  <c r="AQ241" i="1" s="1"/>
  <c r="AP242" i="1"/>
  <c r="AQ242" i="1" s="1"/>
  <c r="AP243" i="1"/>
  <c r="AQ243" i="1" s="1"/>
  <c r="AP244" i="1"/>
  <c r="AQ244" i="1" s="1"/>
  <c r="AP245" i="1"/>
  <c r="AQ245" i="1" s="1"/>
  <c r="AP246" i="1"/>
  <c r="AQ246" i="1" s="1"/>
  <c r="AP247" i="1"/>
  <c r="AQ247" i="1" s="1"/>
  <c r="AP248" i="1"/>
  <c r="AQ248" i="1" s="1"/>
  <c r="AP249" i="1"/>
  <c r="AQ249" i="1" s="1"/>
  <c r="AP250" i="1"/>
  <c r="AQ250" i="1" s="1"/>
  <c r="AP251" i="1"/>
  <c r="AQ251" i="1" s="1"/>
  <c r="AP252" i="1"/>
  <c r="AQ252" i="1" s="1"/>
  <c r="AP253" i="1"/>
  <c r="AQ253" i="1" s="1"/>
  <c r="AP254" i="1"/>
  <c r="AQ254" i="1" s="1"/>
  <c r="AP255" i="1"/>
  <c r="AQ255" i="1" s="1"/>
  <c r="AP256" i="1"/>
  <c r="AQ256" i="1" s="1"/>
  <c r="AP257" i="1"/>
  <c r="AQ257" i="1" s="1"/>
  <c r="AP258" i="1"/>
  <c r="AQ258" i="1" s="1"/>
  <c r="AP259" i="1"/>
  <c r="AQ259" i="1" s="1"/>
  <c r="AP260" i="1"/>
  <c r="AQ260" i="1" s="1"/>
  <c r="AP261" i="1"/>
  <c r="AQ261" i="1" s="1"/>
  <c r="AP262" i="1"/>
  <c r="AQ262" i="1" s="1"/>
  <c r="AP263" i="1"/>
  <c r="AQ263" i="1" s="1"/>
  <c r="AP264" i="1"/>
  <c r="AQ264" i="1" s="1"/>
  <c r="AP265" i="1"/>
  <c r="AQ265" i="1" s="1"/>
  <c r="AP266" i="1"/>
  <c r="AQ266" i="1" s="1"/>
  <c r="AP267" i="1"/>
  <c r="AQ267" i="1" s="1"/>
  <c r="AP268" i="1"/>
  <c r="AQ268" i="1" s="1"/>
  <c r="AP269" i="1"/>
  <c r="AQ269" i="1" s="1"/>
  <c r="AP270" i="1"/>
  <c r="AQ270" i="1" s="1"/>
  <c r="AP271" i="1"/>
  <c r="AQ271" i="1" s="1"/>
  <c r="AP272" i="1"/>
  <c r="AQ272" i="1" s="1"/>
  <c r="AP273" i="1"/>
  <c r="AQ273" i="1" s="1"/>
  <c r="AP274" i="1"/>
  <c r="AQ274" i="1" s="1"/>
  <c r="AP275" i="1"/>
  <c r="AQ275" i="1" s="1"/>
  <c r="AP276" i="1"/>
  <c r="AQ276" i="1" s="1"/>
  <c r="AP277" i="1"/>
  <c r="AQ277" i="1" s="1"/>
  <c r="AP278" i="1"/>
  <c r="AQ278" i="1" s="1"/>
  <c r="AP279" i="1"/>
  <c r="AQ279" i="1" s="1"/>
  <c r="AP280" i="1"/>
  <c r="AQ280" i="1" s="1"/>
  <c r="AP281" i="1"/>
  <c r="AQ281" i="1" s="1"/>
  <c r="AP282" i="1"/>
  <c r="AQ282" i="1" s="1"/>
  <c r="AP283" i="1"/>
  <c r="AQ283" i="1" s="1"/>
  <c r="AP284" i="1"/>
  <c r="AQ284" i="1" s="1"/>
  <c r="AP285" i="1"/>
  <c r="AQ285" i="1" s="1"/>
  <c r="AP286" i="1"/>
  <c r="AQ286" i="1" s="1"/>
  <c r="AP287" i="1"/>
  <c r="AQ287" i="1" s="1"/>
  <c r="AP288" i="1"/>
  <c r="AQ288" i="1" s="1"/>
  <c r="AP289" i="1"/>
  <c r="AQ289" i="1" s="1"/>
  <c r="AP290" i="1"/>
  <c r="AQ290" i="1" s="1"/>
  <c r="AP291" i="1"/>
  <c r="AQ291" i="1" s="1"/>
  <c r="AP292" i="1"/>
  <c r="AQ292" i="1" s="1"/>
  <c r="AP293" i="1"/>
  <c r="AQ293" i="1" s="1"/>
  <c r="AP294" i="1"/>
  <c r="AQ294" i="1" s="1"/>
  <c r="AP295" i="1"/>
  <c r="AQ295" i="1" s="1"/>
  <c r="AP296" i="1"/>
  <c r="AQ296" i="1" s="1"/>
  <c r="AP297" i="1"/>
  <c r="AQ297" i="1" s="1"/>
  <c r="AP298" i="1"/>
  <c r="AQ298" i="1" s="1"/>
  <c r="AP299" i="1"/>
  <c r="AQ299" i="1" s="1"/>
  <c r="AP300" i="1"/>
  <c r="AQ300" i="1" s="1"/>
  <c r="AP301" i="1"/>
  <c r="AQ301" i="1" s="1"/>
  <c r="AP302" i="1"/>
  <c r="AQ302" i="1" s="1"/>
  <c r="AP303" i="1"/>
  <c r="AQ303" i="1" s="1"/>
  <c r="AP304" i="1"/>
  <c r="AQ304" i="1" s="1"/>
  <c r="AP305" i="1"/>
  <c r="AQ305" i="1" s="1"/>
  <c r="AP306" i="1"/>
  <c r="AQ306" i="1" s="1"/>
  <c r="AP307" i="1"/>
  <c r="AQ307" i="1" s="1"/>
  <c r="AP308" i="1"/>
  <c r="AQ308" i="1" s="1"/>
  <c r="AP309" i="1"/>
  <c r="AQ309" i="1" s="1"/>
  <c r="AP310" i="1"/>
  <c r="AQ310" i="1" s="1"/>
  <c r="AP311" i="1"/>
  <c r="AQ311" i="1" s="1"/>
  <c r="AP312" i="1"/>
  <c r="AQ312" i="1" s="1"/>
  <c r="AP313" i="1"/>
  <c r="AQ313" i="1" s="1"/>
  <c r="AP314" i="1"/>
  <c r="AQ314" i="1" s="1"/>
  <c r="AP315" i="1"/>
  <c r="AQ315" i="1" s="1"/>
  <c r="AP316" i="1"/>
  <c r="AQ316" i="1" s="1"/>
  <c r="AP317" i="1"/>
  <c r="AQ317" i="1" s="1"/>
  <c r="AP318" i="1"/>
  <c r="AQ318" i="1" s="1"/>
  <c r="AP319" i="1"/>
  <c r="AQ319" i="1" s="1"/>
  <c r="AP320" i="1"/>
  <c r="AQ320" i="1" s="1"/>
  <c r="AP321" i="1"/>
  <c r="AQ321" i="1" s="1"/>
  <c r="AP322" i="1"/>
  <c r="AQ322" i="1" s="1"/>
  <c r="AP323" i="1"/>
  <c r="AQ323" i="1" s="1"/>
  <c r="AP324" i="1"/>
  <c r="AQ324" i="1" s="1"/>
  <c r="AP325" i="1"/>
  <c r="AQ325" i="1" s="1"/>
  <c r="AP326" i="1"/>
  <c r="AQ326" i="1" s="1"/>
  <c r="AP327" i="1"/>
  <c r="AQ327" i="1" s="1"/>
  <c r="AP328" i="1"/>
  <c r="AQ328" i="1" s="1"/>
  <c r="AP329" i="1"/>
  <c r="AQ329" i="1" s="1"/>
  <c r="AP330" i="1"/>
  <c r="AQ330" i="1" s="1"/>
  <c r="AP331" i="1"/>
  <c r="AQ331" i="1" s="1"/>
  <c r="AP332" i="1"/>
  <c r="AQ332" i="1" s="1"/>
  <c r="AP333" i="1"/>
  <c r="AQ333" i="1" s="1"/>
  <c r="AP334" i="1"/>
  <c r="AQ334" i="1" s="1"/>
  <c r="AP335" i="1"/>
  <c r="AQ335" i="1" s="1"/>
  <c r="AP336" i="1"/>
  <c r="AQ336" i="1" s="1"/>
  <c r="AP337" i="1"/>
  <c r="AQ337" i="1" s="1"/>
  <c r="AP338" i="1"/>
  <c r="AQ338" i="1" s="1"/>
  <c r="AP339" i="1"/>
  <c r="AQ339" i="1" s="1"/>
  <c r="AP340" i="1"/>
  <c r="AQ340" i="1" s="1"/>
  <c r="AP341" i="1"/>
  <c r="AQ341" i="1" s="1"/>
  <c r="AP342" i="1"/>
  <c r="AQ342" i="1" s="1"/>
  <c r="AP343" i="1"/>
  <c r="AQ343" i="1" s="1"/>
  <c r="AP344" i="1"/>
  <c r="AQ344" i="1" s="1"/>
  <c r="AP345" i="1"/>
  <c r="AQ345" i="1" s="1"/>
  <c r="AP346" i="1"/>
  <c r="AQ346" i="1" s="1"/>
  <c r="AP347" i="1"/>
  <c r="AQ347" i="1" s="1"/>
  <c r="AP348" i="1"/>
  <c r="AQ348" i="1" s="1"/>
  <c r="AP349" i="1"/>
  <c r="AQ349" i="1" s="1"/>
  <c r="AP350" i="1"/>
  <c r="AQ350" i="1" s="1"/>
  <c r="AP351" i="1"/>
  <c r="AQ351" i="1" s="1"/>
  <c r="AP352" i="1"/>
  <c r="AQ352" i="1" s="1"/>
  <c r="AP353" i="1"/>
  <c r="AQ353" i="1" s="1"/>
  <c r="AP354" i="1"/>
  <c r="AQ354" i="1" s="1"/>
  <c r="AP355" i="1"/>
  <c r="AQ355" i="1" s="1"/>
  <c r="AP356" i="1"/>
  <c r="AQ356" i="1" s="1"/>
  <c r="AP357" i="1"/>
  <c r="AQ357" i="1" s="1"/>
  <c r="AP358" i="1"/>
  <c r="AQ358" i="1" s="1"/>
  <c r="AP359" i="1"/>
  <c r="AQ359" i="1" s="1"/>
  <c r="AP360" i="1"/>
  <c r="AQ360" i="1" s="1"/>
  <c r="AP361" i="1"/>
  <c r="AQ361" i="1" s="1"/>
  <c r="AP362" i="1"/>
  <c r="AQ362" i="1" s="1"/>
  <c r="AP363" i="1"/>
  <c r="AQ363" i="1" s="1"/>
  <c r="AP364" i="1"/>
  <c r="AQ364" i="1" s="1"/>
  <c r="AP365" i="1"/>
  <c r="AQ365" i="1" s="1"/>
  <c r="AP366" i="1"/>
  <c r="AQ366" i="1" s="1"/>
  <c r="AP367" i="1"/>
  <c r="AQ367" i="1" s="1"/>
  <c r="AP368" i="1"/>
  <c r="AQ368" i="1" s="1"/>
  <c r="AP369" i="1"/>
  <c r="AQ369" i="1" s="1"/>
  <c r="AP370" i="1"/>
  <c r="AQ370" i="1" s="1"/>
  <c r="AP371" i="1"/>
  <c r="AQ371" i="1" s="1"/>
  <c r="AP372" i="1"/>
  <c r="AQ372" i="1" s="1"/>
  <c r="AP373" i="1"/>
  <c r="AQ373" i="1" s="1"/>
  <c r="AP374" i="1"/>
  <c r="AQ374" i="1" s="1"/>
  <c r="AP375" i="1"/>
  <c r="AQ375" i="1" s="1"/>
  <c r="AP376" i="1"/>
  <c r="AQ376" i="1" s="1"/>
  <c r="AP377" i="1"/>
  <c r="AQ377" i="1" s="1"/>
  <c r="AP378" i="1"/>
  <c r="AQ378" i="1" s="1"/>
  <c r="AP379" i="1"/>
  <c r="AQ379" i="1" s="1"/>
  <c r="AP380" i="1"/>
  <c r="AQ380" i="1" s="1"/>
  <c r="AP381" i="1"/>
  <c r="AQ381" i="1" s="1"/>
  <c r="AP382" i="1"/>
  <c r="AQ382" i="1" s="1"/>
  <c r="AP383" i="1"/>
  <c r="AQ383" i="1" s="1"/>
  <c r="AP384" i="1"/>
  <c r="AQ384" i="1" s="1"/>
  <c r="AP385" i="1"/>
  <c r="AQ385" i="1" s="1"/>
  <c r="AP386" i="1"/>
  <c r="AQ386" i="1" s="1"/>
  <c r="AP387" i="1"/>
  <c r="AQ387" i="1" s="1"/>
  <c r="AP388" i="1"/>
  <c r="AQ388" i="1" s="1"/>
  <c r="AP389" i="1"/>
  <c r="AQ389" i="1" s="1"/>
  <c r="AP390" i="1"/>
  <c r="AQ390" i="1" s="1"/>
  <c r="AP391" i="1"/>
  <c r="AQ391" i="1" s="1"/>
  <c r="AP392" i="1"/>
  <c r="AQ392" i="1" s="1"/>
  <c r="AP393" i="1"/>
  <c r="AQ393" i="1" s="1"/>
  <c r="AP394" i="1"/>
  <c r="AQ394" i="1" s="1"/>
  <c r="AP395" i="1"/>
  <c r="AQ395" i="1" s="1"/>
  <c r="AP396" i="1"/>
  <c r="AQ396" i="1" s="1"/>
  <c r="AP397" i="1"/>
  <c r="AQ397" i="1" s="1"/>
  <c r="AP398" i="1"/>
  <c r="AQ398" i="1" s="1"/>
  <c r="AP399" i="1"/>
  <c r="AQ399" i="1" s="1"/>
  <c r="AP400" i="1"/>
  <c r="AQ400" i="1" s="1"/>
  <c r="AP401" i="1"/>
  <c r="AQ401" i="1" s="1"/>
  <c r="AP402" i="1"/>
  <c r="AQ402" i="1" s="1"/>
  <c r="AP403" i="1"/>
  <c r="AQ403" i="1" s="1"/>
  <c r="AP404" i="1"/>
  <c r="AQ404" i="1" s="1"/>
  <c r="AP405" i="1"/>
  <c r="AQ405" i="1" s="1"/>
  <c r="AP406" i="1"/>
  <c r="AQ406" i="1" s="1"/>
  <c r="AP407" i="1"/>
  <c r="AQ407" i="1" s="1"/>
  <c r="AP408" i="1"/>
  <c r="AQ408" i="1" s="1"/>
  <c r="AP409" i="1"/>
  <c r="AQ409" i="1" s="1"/>
  <c r="AP410" i="1"/>
  <c r="AQ410" i="1" s="1"/>
  <c r="AP411" i="1"/>
  <c r="AQ411" i="1" s="1"/>
  <c r="AP412" i="1"/>
  <c r="AQ412" i="1" s="1"/>
  <c r="AP413" i="1"/>
  <c r="AQ413" i="1" s="1"/>
  <c r="AP414" i="1"/>
  <c r="AQ414" i="1" s="1"/>
  <c r="AP415" i="1"/>
  <c r="AQ415" i="1" s="1"/>
  <c r="AP416" i="1"/>
  <c r="AQ416" i="1" s="1"/>
  <c r="AP417" i="1"/>
  <c r="AQ417" i="1" s="1"/>
  <c r="AP418" i="1"/>
  <c r="AQ418" i="1" s="1"/>
  <c r="AP419" i="1"/>
  <c r="AQ419" i="1" s="1"/>
  <c r="AP420" i="1"/>
  <c r="AQ420" i="1" s="1"/>
  <c r="AP421" i="1"/>
  <c r="AQ421" i="1" s="1"/>
  <c r="AP422" i="1"/>
  <c r="AQ422" i="1" s="1"/>
  <c r="AP423" i="1"/>
  <c r="AQ423" i="1" s="1"/>
  <c r="AP424" i="1"/>
  <c r="AQ424" i="1" s="1"/>
  <c r="AP425" i="1"/>
  <c r="AQ425" i="1" s="1"/>
  <c r="AP426" i="1"/>
  <c r="AQ426" i="1" s="1"/>
  <c r="AP427" i="1"/>
  <c r="AQ427" i="1" s="1"/>
  <c r="AP428" i="1"/>
  <c r="AQ428" i="1" s="1"/>
  <c r="AP429" i="1"/>
  <c r="AQ429" i="1" s="1"/>
  <c r="AP430" i="1"/>
  <c r="AQ430" i="1" s="1"/>
  <c r="AP431" i="1"/>
  <c r="AQ431" i="1" s="1"/>
  <c r="AP432" i="1"/>
  <c r="AQ432" i="1" s="1"/>
  <c r="AP433" i="1"/>
  <c r="AQ433" i="1" s="1"/>
  <c r="AP434" i="1"/>
  <c r="AQ434" i="1" s="1"/>
  <c r="AP435" i="1"/>
  <c r="AQ435" i="1" s="1"/>
  <c r="AP436" i="1"/>
  <c r="AQ436" i="1" s="1"/>
  <c r="AP437" i="1"/>
  <c r="AQ437" i="1" s="1"/>
  <c r="AP438" i="1"/>
  <c r="AQ438" i="1" s="1"/>
  <c r="AP439" i="1"/>
  <c r="AQ439" i="1" s="1"/>
  <c r="AP440" i="1"/>
  <c r="AQ440" i="1" s="1"/>
  <c r="AP441" i="1"/>
  <c r="AQ441" i="1" s="1"/>
  <c r="AP442" i="1"/>
  <c r="AQ442" i="1" s="1"/>
  <c r="AP443" i="1"/>
  <c r="AQ443" i="1" s="1"/>
  <c r="AP444" i="1"/>
  <c r="AQ444" i="1" s="1"/>
  <c r="AP445" i="1"/>
  <c r="AQ445" i="1" s="1"/>
  <c r="AP446" i="1"/>
  <c r="AQ446" i="1" s="1"/>
  <c r="AP447" i="1"/>
  <c r="AQ447" i="1" s="1"/>
  <c r="AP448" i="1"/>
  <c r="AQ448" i="1" s="1"/>
  <c r="AP449" i="1"/>
  <c r="AQ449" i="1" s="1"/>
  <c r="AP450" i="1"/>
  <c r="AQ450" i="1" s="1"/>
  <c r="AP451" i="1"/>
  <c r="AQ451" i="1" s="1"/>
  <c r="AP452" i="1"/>
  <c r="AQ452" i="1" s="1"/>
  <c r="AP453" i="1"/>
  <c r="AQ453" i="1" s="1"/>
  <c r="AP454" i="1"/>
  <c r="AQ454" i="1" s="1"/>
  <c r="AP455" i="1"/>
  <c r="AQ455" i="1" s="1"/>
  <c r="AP456" i="1"/>
  <c r="AQ456" i="1" s="1"/>
  <c r="AP457" i="1"/>
  <c r="AQ457" i="1" s="1"/>
  <c r="AP458" i="1"/>
  <c r="AQ458" i="1" s="1"/>
  <c r="AP459" i="1"/>
  <c r="AQ459" i="1" s="1"/>
  <c r="AP460" i="1"/>
  <c r="AQ460" i="1" s="1"/>
  <c r="AP461" i="1"/>
  <c r="AQ461" i="1" s="1"/>
  <c r="AP462" i="1"/>
  <c r="AQ462" i="1" s="1"/>
  <c r="AP463" i="1"/>
  <c r="AQ463" i="1" s="1"/>
  <c r="AP464" i="1"/>
  <c r="AQ464" i="1" s="1"/>
  <c r="AP465" i="1"/>
  <c r="AQ465" i="1" s="1"/>
  <c r="AP466" i="1"/>
  <c r="AQ466" i="1" s="1"/>
  <c r="AP467" i="1"/>
  <c r="AQ467" i="1" s="1"/>
  <c r="AP468" i="1"/>
  <c r="AQ468" i="1" s="1"/>
  <c r="AP469" i="1"/>
  <c r="AQ469" i="1" s="1"/>
  <c r="AP470" i="1"/>
  <c r="AQ470" i="1" s="1"/>
  <c r="AP471" i="1"/>
  <c r="AQ471" i="1" s="1"/>
  <c r="AP472" i="1"/>
  <c r="AQ472" i="1" s="1"/>
  <c r="AP473" i="1"/>
  <c r="AQ473" i="1" s="1"/>
  <c r="AP474" i="1"/>
  <c r="AQ474" i="1" s="1"/>
  <c r="AP475" i="1"/>
  <c r="AQ475" i="1" s="1"/>
  <c r="AP476" i="1"/>
  <c r="AQ476" i="1" s="1"/>
  <c r="AP477" i="1"/>
  <c r="AQ477" i="1" s="1"/>
  <c r="AP478" i="1"/>
  <c r="AQ478" i="1" s="1"/>
  <c r="AP479" i="1"/>
  <c r="AQ479" i="1" s="1"/>
  <c r="AP480" i="1"/>
  <c r="AQ480" i="1" s="1"/>
  <c r="AP481" i="1"/>
  <c r="AQ481" i="1" s="1"/>
  <c r="AP482" i="1"/>
  <c r="AQ482" i="1" s="1"/>
  <c r="AP483" i="1"/>
  <c r="AQ483" i="1" s="1"/>
  <c r="AP484" i="1"/>
  <c r="AQ484" i="1" s="1"/>
  <c r="AP485" i="1"/>
  <c r="AQ485" i="1" s="1"/>
  <c r="AP486" i="1"/>
  <c r="AQ486" i="1" s="1"/>
  <c r="AP487" i="1"/>
  <c r="AQ487" i="1" s="1"/>
  <c r="AP488" i="1"/>
  <c r="AQ488" i="1" s="1"/>
  <c r="AP489" i="1"/>
  <c r="AQ489" i="1" s="1"/>
  <c r="AP490" i="1"/>
  <c r="AQ490" i="1" s="1"/>
  <c r="AP491" i="1"/>
  <c r="AQ491" i="1" s="1"/>
  <c r="AP492" i="1"/>
  <c r="AQ492" i="1" s="1"/>
  <c r="AP493" i="1"/>
  <c r="AQ493" i="1" s="1"/>
  <c r="AP494" i="1"/>
  <c r="AQ494" i="1" s="1"/>
  <c r="AP495" i="1"/>
  <c r="AQ495" i="1" s="1"/>
  <c r="AP496" i="1"/>
  <c r="AQ496" i="1" s="1"/>
  <c r="AP497" i="1"/>
  <c r="AQ497" i="1" s="1"/>
  <c r="AP498" i="1"/>
  <c r="AQ498" i="1" s="1"/>
  <c r="AP499" i="1"/>
  <c r="AQ499" i="1" s="1"/>
  <c r="AP500" i="1"/>
  <c r="AQ500" i="1" s="1"/>
  <c r="AP501" i="1"/>
  <c r="AQ501" i="1" s="1"/>
  <c r="AP502" i="1"/>
  <c r="AQ502" i="1" s="1"/>
  <c r="AP503" i="1"/>
  <c r="AQ503" i="1" s="1"/>
  <c r="AP504" i="1"/>
  <c r="AQ504" i="1" s="1"/>
  <c r="AP505" i="1"/>
  <c r="AQ505" i="1" s="1"/>
  <c r="AP506" i="1"/>
  <c r="AQ506" i="1" s="1"/>
  <c r="AP507" i="1"/>
  <c r="AQ507" i="1" s="1"/>
  <c r="AP508" i="1"/>
  <c r="AQ508" i="1" s="1"/>
  <c r="AP509" i="1"/>
  <c r="AQ509" i="1" s="1"/>
  <c r="AP510" i="1"/>
  <c r="AQ510" i="1" s="1"/>
  <c r="AP511" i="1"/>
  <c r="AQ511" i="1" s="1"/>
  <c r="AP512" i="1"/>
  <c r="AQ512" i="1" s="1"/>
  <c r="AP513" i="1"/>
  <c r="AQ513" i="1" s="1"/>
  <c r="AP514" i="1"/>
  <c r="AQ514" i="1" s="1"/>
  <c r="AP515" i="1"/>
  <c r="AQ515" i="1" s="1"/>
  <c r="AP516" i="1"/>
  <c r="AQ516" i="1" s="1"/>
  <c r="AP517" i="1"/>
  <c r="AQ517" i="1" s="1"/>
  <c r="AP518" i="1"/>
  <c r="AQ518" i="1" s="1"/>
  <c r="AP519" i="1"/>
  <c r="AQ519" i="1" s="1"/>
  <c r="AP520" i="1"/>
  <c r="AQ520" i="1" s="1"/>
  <c r="AP521" i="1"/>
  <c r="AQ521" i="1" s="1"/>
  <c r="AP522" i="1"/>
  <c r="AQ522" i="1" s="1"/>
  <c r="AP523" i="1"/>
  <c r="AQ523" i="1" s="1"/>
  <c r="AP524" i="1"/>
  <c r="AQ524" i="1" s="1"/>
  <c r="AP525" i="1"/>
  <c r="AQ525" i="1" s="1"/>
  <c r="AP526" i="1"/>
  <c r="AQ526" i="1" s="1"/>
  <c r="AP527" i="1"/>
  <c r="AQ527" i="1" s="1"/>
  <c r="AP528" i="1"/>
  <c r="AQ528" i="1" s="1"/>
  <c r="AP529" i="1"/>
  <c r="AQ529" i="1" s="1"/>
  <c r="AP530" i="1"/>
  <c r="AQ530" i="1" s="1"/>
  <c r="AP531" i="1"/>
  <c r="AQ531" i="1" s="1"/>
  <c r="AP532" i="1"/>
  <c r="AQ532" i="1" s="1"/>
  <c r="AP533" i="1"/>
  <c r="AQ533" i="1" s="1"/>
  <c r="AP534" i="1"/>
  <c r="AQ534" i="1" s="1"/>
  <c r="AP535" i="1"/>
  <c r="AQ535" i="1" s="1"/>
  <c r="AP536" i="1"/>
  <c r="AQ536" i="1" s="1"/>
  <c r="AP537" i="1"/>
  <c r="AQ537" i="1" s="1"/>
  <c r="AP538" i="1"/>
  <c r="AQ538" i="1" s="1"/>
  <c r="AP539" i="1"/>
  <c r="AQ539" i="1" s="1"/>
  <c r="AP540" i="1"/>
  <c r="AQ540" i="1" s="1"/>
  <c r="AP541" i="1"/>
  <c r="AQ541" i="1" s="1"/>
  <c r="AP542" i="1"/>
  <c r="AQ542" i="1" s="1"/>
  <c r="AP543" i="1"/>
  <c r="AQ543" i="1" s="1"/>
  <c r="AP544" i="1"/>
  <c r="AQ544" i="1" s="1"/>
  <c r="AP545" i="1"/>
  <c r="AQ545" i="1" s="1"/>
  <c r="AP546" i="1"/>
  <c r="AQ546" i="1" s="1"/>
  <c r="AP547" i="1"/>
  <c r="AQ547" i="1" s="1"/>
  <c r="AP548" i="1"/>
  <c r="AQ548" i="1" s="1"/>
  <c r="AP549" i="1"/>
  <c r="AQ549" i="1" s="1"/>
  <c r="AP550" i="1"/>
  <c r="AQ550" i="1" s="1"/>
  <c r="AP551" i="1"/>
  <c r="AQ551" i="1" s="1"/>
  <c r="AP552" i="1"/>
  <c r="AQ552" i="1" s="1"/>
  <c r="AP553" i="1"/>
  <c r="AQ553" i="1" s="1"/>
  <c r="AP554" i="1"/>
  <c r="AQ554" i="1" s="1"/>
  <c r="AP555" i="1"/>
  <c r="AQ555" i="1" s="1"/>
  <c r="AP556" i="1"/>
  <c r="AQ556" i="1" s="1"/>
  <c r="AP557" i="1"/>
  <c r="AQ557" i="1" s="1"/>
  <c r="AP558" i="1"/>
  <c r="AQ558" i="1" s="1"/>
  <c r="AP559" i="1"/>
  <c r="AQ559" i="1" s="1"/>
  <c r="AP560" i="1"/>
  <c r="AQ560" i="1" s="1"/>
  <c r="AP561" i="1"/>
  <c r="AQ561" i="1" s="1"/>
  <c r="AP562" i="1"/>
  <c r="AQ562" i="1" s="1"/>
  <c r="AP563" i="1"/>
  <c r="AQ563" i="1" s="1"/>
  <c r="AP564" i="1"/>
  <c r="AQ564" i="1" s="1"/>
  <c r="AP565" i="1"/>
  <c r="AQ565" i="1" s="1"/>
  <c r="AP566" i="1"/>
  <c r="AQ566" i="1" s="1"/>
  <c r="AP567" i="1"/>
  <c r="AQ567" i="1" s="1"/>
  <c r="AP568" i="1"/>
  <c r="AQ568" i="1" s="1"/>
  <c r="AP569" i="1"/>
  <c r="AQ569" i="1" s="1"/>
  <c r="AP570" i="1"/>
  <c r="AQ570" i="1" s="1"/>
  <c r="AP571" i="1"/>
  <c r="AQ571" i="1" s="1"/>
  <c r="AP572" i="1"/>
  <c r="AQ572" i="1" s="1"/>
  <c r="AP573" i="1"/>
  <c r="AQ573" i="1" s="1"/>
  <c r="AP574" i="1"/>
  <c r="AQ574" i="1" s="1"/>
  <c r="AP575" i="1"/>
  <c r="AQ575" i="1" s="1"/>
  <c r="AP576" i="1"/>
  <c r="AQ576" i="1" s="1"/>
  <c r="AP577" i="1"/>
  <c r="AQ577" i="1" s="1"/>
  <c r="AP578" i="1"/>
  <c r="AQ578" i="1" s="1"/>
  <c r="AP579" i="1"/>
  <c r="AQ579" i="1" s="1"/>
  <c r="AP580" i="1"/>
  <c r="AQ580" i="1" s="1"/>
  <c r="AP581" i="1"/>
  <c r="AQ581" i="1" s="1"/>
  <c r="AP582" i="1"/>
  <c r="AQ582" i="1" s="1"/>
  <c r="AP583" i="1"/>
  <c r="AQ583" i="1" s="1"/>
  <c r="AP584" i="1"/>
  <c r="AQ584" i="1" s="1"/>
  <c r="AP585" i="1"/>
  <c r="AQ585" i="1" s="1"/>
  <c r="AP586" i="1"/>
  <c r="AQ586" i="1" s="1"/>
  <c r="AP587" i="1"/>
  <c r="AQ587" i="1" s="1"/>
  <c r="AP588" i="1"/>
  <c r="AQ588" i="1" s="1"/>
  <c r="AP589" i="1"/>
  <c r="AQ589" i="1" s="1"/>
  <c r="AP590" i="1"/>
  <c r="AQ590" i="1" s="1"/>
  <c r="AP591" i="1"/>
  <c r="AQ591" i="1" s="1"/>
  <c r="AP592" i="1"/>
  <c r="AQ592" i="1" s="1"/>
  <c r="AP593" i="1"/>
  <c r="AQ593" i="1" s="1"/>
  <c r="AP594" i="1"/>
  <c r="AQ594" i="1" s="1"/>
  <c r="AP595" i="1"/>
  <c r="AQ595" i="1" s="1"/>
  <c r="AP596" i="1"/>
  <c r="AQ596" i="1" s="1"/>
  <c r="AP597" i="1"/>
  <c r="AQ597" i="1" s="1"/>
  <c r="AP598" i="1"/>
  <c r="AQ598" i="1" s="1"/>
  <c r="AP599" i="1"/>
  <c r="AQ599" i="1" s="1"/>
  <c r="AP600" i="1"/>
  <c r="AQ600" i="1" s="1"/>
  <c r="AP601" i="1"/>
  <c r="AQ601" i="1" s="1"/>
  <c r="AP602" i="1"/>
  <c r="AQ602" i="1" s="1"/>
  <c r="AP603" i="1"/>
  <c r="AQ603" i="1" s="1"/>
  <c r="AP604" i="1"/>
  <c r="AQ604" i="1" s="1"/>
  <c r="AP605" i="1"/>
  <c r="AQ605" i="1" s="1"/>
  <c r="AP606" i="1"/>
  <c r="AQ606" i="1" s="1"/>
  <c r="AP607" i="1"/>
  <c r="AQ607" i="1" s="1"/>
  <c r="AP608" i="1"/>
  <c r="AQ608" i="1" s="1"/>
  <c r="AP609" i="1"/>
  <c r="AQ609" i="1" s="1"/>
  <c r="AP610" i="1"/>
  <c r="AQ610" i="1" s="1"/>
  <c r="AP611" i="1"/>
  <c r="AQ611" i="1" s="1"/>
  <c r="AP612" i="1"/>
  <c r="AQ612" i="1" s="1"/>
  <c r="AP613" i="1"/>
  <c r="AQ613" i="1" s="1"/>
  <c r="AP614" i="1"/>
  <c r="AQ614" i="1" s="1"/>
  <c r="AP615" i="1"/>
  <c r="AQ615" i="1" s="1"/>
  <c r="AP616" i="1"/>
  <c r="AQ616" i="1" s="1"/>
  <c r="AP617" i="1"/>
  <c r="AQ617" i="1" s="1"/>
  <c r="AP618" i="1"/>
  <c r="AQ618" i="1" s="1"/>
  <c r="AP619" i="1"/>
  <c r="AQ619" i="1" s="1"/>
  <c r="AP620" i="1"/>
  <c r="AQ620" i="1" s="1"/>
  <c r="AP621" i="1"/>
  <c r="AQ621" i="1" s="1"/>
  <c r="AP622" i="1"/>
  <c r="AQ622" i="1" s="1"/>
  <c r="AP623" i="1"/>
  <c r="AQ623" i="1" s="1"/>
  <c r="AP624" i="1"/>
  <c r="AQ624" i="1" s="1"/>
  <c r="AP625" i="1"/>
  <c r="AQ625" i="1" s="1"/>
  <c r="AP626" i="1"/>
  <c r="AQ626" i="1" s="1"/>
  <c r="AP627" i="1"/>
  <c r="AQ627" i="1" s="1"/>
  <c r="AP628" i="1"/>
  <c r="AQ628" i="1" s="1"/>
  <c r="AP629" i="1"/>
  <c r="AQ629" i="1" s="1"/>
  <c r="AP630" i="1"/>
  <c r="AQ630" i="1" s="1"/>
  <c r="AP631" i="1"/>
  <c r="AQ631" i="1" s="1"/>
  <c r="AP632" i="1"/>
  <c r="AQ632" i="1" s="1"/>
  <c r="AP633" i="1"/>
  <c r="AQ633" i="1" s="1"/>
  <c r="AP634" i="1"/>
  <c r="AQ634" i="1" s="1"/>
  <c r="AP635" i="1"/>
  <c r="AQ635" i="1" s="1"/>
  <c r="AP636" i="1"/>
  <c r="AQ636" i="1" s="1"/>
  <c r="AP637" i="1"/>
  <c r="AQ637" i="1" s="1"/>
  <c r="AP638" i="1"/>
  <c r="AQ638" i="1" s="1"/>
  <c r="AP639" i="1"/>
  <c r="AQ639" i="1" s="1"/>
  <c r="AP640" i="1"/>
  <c r="AQ640" i="1" s="1"/>
  <c r="AP641" i="1"/>
  <c r="AQ641" i="1" s="1"/>
  <c r="AP642" i="1"/>
  <c r="AQ642" i="1" s="1"/>
  <c r="AP643" i="1"/>
  <c r="AQ643" i="1" s="1"/>
  <c r="AP644" i="1"/>
  <c r="AQ644" i="1" s="1"/>
  <c r="AP645" i="1"/>
  <c r="AQ645" i="1" s="1"/>
  <c r="AP646" i="1"/>
  <c r="AQ646" i="1" s="1"/>
  <c r="AP647" i="1"/>
  <c r="AQ647" i="1" s="1"/>
  <c r="AP648" i="1"/>
  <c r="AQ648" i="1" s="1"/>
  <c r="AP649" i="1"/>
  <c r="AQ649" i="1" s="1"/>
  <c r="AP650" i="1"/>
  <c r="AQ650" i="1" s="1"/>
  <c r="B8" i="4"/>
  <c r="B7" i="4"/>
  <c r="B6" i="4"/>
  <c r="B21" i="3"/>
  <c r="B20" i="3"/>
  <c r="B19" i="3"/>
  <c r="B18" i="3"/>
  <c r="B14" i="3"/>
  <c r="B13" i="3"/>
  <c r="B12" i="3"/>
  <c r="G3" i="3"/>
  <c r="A3" i="3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N214" i="1" s="1"/>
  <c r="AO214" i="1" s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N230" i="1" s="1"/>
  <c r="AO230" i="1" s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N246" i="1" s="1"/>
  <c r="AO246" i="1" s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N262" i="1" s="1"/>
  <c r="AO262" i="1" s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N278" i="1" s="1"/>
  <c r="AO278" i="1" s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N294" i="1" s="1"/>
  <c r="AO294" i="1" s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N310" i="1" s="1"/>
  <c r="AO310" i="1" s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N326" i="1" s="1"/>
  <c r="AO326" i="1" s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N342" i="1" s="1"/>
  <c r="AO342" i="1" s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N358" i="1" s="1"/>
  <c r="AO358" i="1" s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N374" i="1" s="1"/>
  <c r="AO374" i="1" s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N390" i="1" s="1"/>
  <c r="AO390" i="1" s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N406" i="1" s="1"/>
  <c r="AO406" i="1" s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N422" i="1" s="1"/>
  <c r="AO422" i="1" s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N438" i="1" s="1"/>
  <c r="AO438" i="1" s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N454" i="1" s="1"/>
  <c r="AO454" i="1" s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N470" i="1" s="1"/>
  <c r="AO470" i="1" s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N486" i="1" s="1"/>
  <c r="AO486" i="1" s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N502" i="1" s="1"/>
  <c r="AO502" i="1" s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N518" i="1" s="1"/>
  <c r="AO518" i="1" s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N534" i="1" s="1"/>
  <c r="AO534" i="1" s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N550" i="1" s="1"/>
  <c r="AO550" i="1" s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N566" i="1" s="1"/>
  <c r="AO566" i="1" s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N582" i="1" s="1"/>
  <c r="AO582" i="1" s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N598" i="1" s="1"/>
  <c r="AO598" i="1" s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N614" i="1" s="1"/>
  <c r="AO614" i="1" s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N630" i="1" s="1"/>
  <c r="AO630" i="1" s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N646" i="1" s="1"/>
  <c r="AO646" i="1" s="1"/>
  <c r="AJ647" i="1"/>
  <c r="AJ648" i="1"/>
  <c r="AJ649" i="1"/>
  <c r="AJ650" i="1"/>
  <c r="AI2" i="1"/>
  <c r="AM2" i="1" s="1"/>
  <c r="AI3" i="1"/>
  <c r="AM3" i="1" s="1"/>
  <c r="AI4" i="1"/>
  <c r="AM4" i="1" s="1"/>
  <c r="AI5" i="1"/>
  <c r="AM5" i="1" s="1"/>
  <c r="AI6" i="1"/>
  <c r="AM6" i="1" s="1"/>
  <c r="AI7" i="1"/>
  <c r="AM7" i="1" s="1"/>
  <c r="AI8" i="1"/>
  <c r="AM8" i="1" s="1"/>
  <c r="AI9" i="1"/>
  <c r="AM9" i="1" s="1"/>
  <c r="AI10" i="1"/>
  <c r="AM10" i="1" s="1"/>
  <c r="AI11" i="1"/>
  <c r="AM11" i="1" s="1"/>
  <c r="AI12" i="1"/>
  <c r="AM12" i="1" s="1"/>
  <c r="AI13" i="1"/>
  <c r="AM13" i="1" s="1"/>
  <c r="AI14" i="1"/>
  <c r="AM14" i="1" s="1"/>
  <c r="AI15" i="1"/>
  <c r="AM15" i="1" s="1"/>
  <c r="AI16" i="1"/>
  <c r="AM16" i="1" s="1"/>
  <c r="AI17" i="1"/>
  <c r="AM17" i="1" s="1"/>
  <c r="AI18" i="1"/>
  <c r="AM18" i="1" s="1"/>
  <c r="AI19" i="1"/>
  <c r="AM19" i="1" s="1"/>
  <c r="AI20" i="1"/>
  <c r="AM20" i="1" s="1"/>
  <c r="AI21" i="1"/>
  <c r="AM21" i="1" s="1"/>
  <c r="AI22" i="1"/>
  <c r="AM22" i="1" s="1"/>
  <c r="AI23" i="1"/>
  <c r="AM23" i="1" s="1"/>
  <c r="AI24" i="1"/>
  <c r="AM24" i="1" s="1"/>
  <c r="AI25" i="1"/>
  <c r="AM25" i="1" s="1"/>
  <c r="AI26" i="1"/>
  <c r="AM26" i="1" s="1"/>
  <c r="AI27" i="1"/>
  <c r="AM27" i="1" s="1"/>
  <c r="AI28" i="1"/>
  <c r="AM28" i="1" s="1"/>
  <c r="AI29" i="1"/>
  <c r="AM29" i="1" s="1"/>
  <c r="AI30" i="1"/>
  <c r="AM30" i="1" s="1"/>
  <c r="AI31" i="1"/>
  <c r="AM31" i="1" s="1"/>
  <c r="AI32" i="1"/>
  <c r="AM32" i="1" s="1"/>
  <c r="AI33" i="1"/>
  <c r="AM33" i="1" s="1"/>
  <c r="AI34" i="1"/>
  <c r="AM34" i="1" s="1"/>
  <c r="AI35" i="1"/>
  <c r="AM35" i="1" s="1"/>
  <c r="AI36" i="1"/>
  <c r="AM36" i="1" s="1"/>
  <c r="AI37" i="1"/>
  <c r="AM37" i="1" s="1"/>
  <c r="AI38" i="1"/>
  <c r="AM38" i="1" s="1"/>
  <c r="AI39" i="1"/>
  <c r="AM39" i="1" s="1"/>
  <c r="AI40" i="1"/>
  <c r="AM40" i="1" s="1"/>
  <c r="AI41" i="1"/>
  <c r="AM41" i="1" s="1"/>
  <c r="AI42" i="1"/>
  <c r="AM42" i="1" s="1"/>
  <c r="AI43" i="1"/>
  <c r="AM43" i="1" s="1"/>
  <c r="AI44" i="1"/>
  <c r="AM44" i="1" s="1"/>
  <c r="AI45" i="1"/>
  <c r="AM45" i="1" s="1"/>
  <c r="AN45" i="1" s="1"/>
  <c r="AO45" i="1" s="1"/>
  <c r="AI46" i="1"/>
  <c r="AM46" i="1" s="1"/>
  <c r="AI47" i="1"/>
  <c r="AM47" i="1" s="1"/>
  <c r="AI48" i="1"/>
  <c r="AM48" i="1" s="1"/>
  <c r="AI49" i="1"/>
  <c r="AM49" i="1" s="1"/>
  <c r="AI50" i="1"/>
  <c r="AM50" i="1" s="1"/>
  <c r="AI51" i="1"/>
  <c r="AM51" i="1" s="1"/>
  <c r="AI52" i="1"/>
  <c r="AM52" i="1" s="1"/>
  <c r="AI53" i="1"/>
  <c r="AM53" i="1" s="1"/>
  <c r="AI54" i="1"/>
  <c r="AM54" i="1" s="1"/>
  <c r="AI55" i="1"/>
  <c r="AM55" i="1" s="1"/>
  <c r="AI56" i="1"/>
  <c r="AM56" i="1" s="1"/>
  <c r="AI57" i="1"/>
  <c r="AM57" i="1" s="1"/>
  <c r="AI58" i="1"/>
  <c r="AM58" i="1" s="1"/>
  <c r="AI59" i="1"/>
  <c r="AM59" i="1" s="1"/>
  <c r="AI60" i="1"/>
  <c r="AM60" i="1" s="1"/>
  <c r="AI61" i="1"/>
  <c r="AM61" i="1" s="1"/>
  <c r="AI62" i="1"/>
  <c r="AM62" i="1" s="1"/>
  <c r="AI63" i="1"/>
  <c r="AM63" i="1" s="1"/>
  <c r="AI64" i="1"/>
  <c r="AM64" i="1" s="1"/>
  <c r="AI65" i="1"/>
  <c r="AM65" i="1" s="1"/>
  <c r="AI66" i="1"/>
  <c r="AM66" i="1" s="1"/>
  <c r="AI67" i="1"/>
  <c r="AM67" i="1" s="1"/>
  <c r="AI68" i="1"/>
  <c r="AM68" i="1" s="1"/>
  <c r="AI69" i="1"/>
  <c r="AM69" i="1" s="1"/>
  <c r="AI70" i="1"/>
  <c r="AM70" i="1" s="1"/>
  <c r="AI71" i="1"/>
  <c r="AM71" i="1" s="1"/>
  <c r="AI72" i="1"/>
  <c r="AM72" i="1" s="1"/>
  <c r="AI73" i="1"/>
  <c r="AM73" i="1" s="1"/>
  <c r="AI74" i="1"/>
  <c r="AM74" i="1" s="1"/>
  <c r="AI75" i="1"/>
  <c r="AM75" i="1" s="1"/>
  <c r="AI76" i="1"/>
  <c r="AM76" i="1" s="1"/>
  <c r="AI77" i="1"/>
  <c r="AM77" i="1" s="1"/>
  <c r="AI78" i="1"/>
  <c r="AM78" i="1" s="1"/>
  <c r="AI79" i="1"/>
  <c r="AM79" i="1" s="1"/>
  <c r="AI80" i="1"/>
  <c r="AM80" i="1" s="1"/>
  <c r="AI81" i="1"/>
  <c r="AM81" i="1" s="1"/>
  <c r="AI82" i="1"/>
  <c r="AM82" i="1" s="1"/>
  <c r="AI83" i="1"/>
  <c r="AM83" i="1" s="1"/>
  <c r="AI84" i="1"/>
  <c r="AM84" i="1" s="1"/>
  <c r="AI85" i="1"/>
  <c r="AM85" i="1" s="1"/>
  <c r="AI86" i="1"/>
  <c r="AM86" i="1" s="1"/>
  <c r="AI87" i="1"/>
  <c r="AM87" i="1" s="1"/>
  <c r="AI88" i="1"/>
  <c r="AM88" i="1" s="1"/>
  <c r="AI89" i="1"/>
  <c r="AM89" i="1" s="1"/>
  <c r="AI90" i="1"/>
  <c r="AM90" i="1" s="1"/>
  <c r="AI91" i="1"/>
  <c r="AM91" i="1" s="1"/>
  <c r="AI92" i="1"/>
  <c r="AM92" i="1" s="1"/>
  <c r="AI93" i="1"/>
  <c r="AM93" i="1" s="1"/>
  <c r="AI94" i="1"/>
  <c r="AM94" i="1" s="1"/>
  <c r="AI95" i="1"/>
  <c r="AM95" i="1" s="1"/>
  <c r="AI96" i="1"/>
  <c r="AM96" i="1" s="1"/>
  <c r="AI97" i="1"/>
  <c r="AM97" i="1" s="1"/>
  <c r="AI98" i="1"/>
  <c r="AM98" i="1" s="1"/>
  <c r="AI99" i="1"/>
  <c r="AM99" i="1" s="1"/>
  <c r="AI100" i="1"/>
  <c r="AM100" i="1" s="1"/>
  <c r="AI101" i="1"/>
  <c r="AM101" i="1" s="1"/>
  <c r="AI102" i="1"/>
  <c r="AM102" i="1" s="1"/>
  <c r="AI103" i="1"/>
  <c r="AM103" i="1" s="1"/>
  <c r="AI104" i="1"/>
  <c r="AM104" i="1" s="1"/>
  <c r="AI105" i="1"/>
  <c r="AM105" i="1" s="1"/>
  <c r="AI106" i="1"/>
  <c r="AM106" i="1" s="1"/>
  <c r="AI107" i="1"/>
  <c r="AM107" i="1" s="1"/>
  <c r="AI108" i="1"/>
  <c r="AM108" i="1" s="1"/>
  <c r="AI109" i="1"/>
  <c r="AM109" i="1" s="1"/>
  <c r="AN109" i="1" s="1"/>
  <c r="AO109" i="1" s="1"/>
  <c r="AI110" i="1"/>
  <c r="AM110" i="1" s="1"/>
  <c r="AI111" i="1"/>
  <c r="AM111" i="1" s="1"/>
  <c r="AI112" i="1"/>
  <c r="AM112" i="1" s="1"/>
  <c r="AI113" i="1"/>
  <c r="AM113" i="1" s="1"/>
  <c r="AI114" i="1"/>
  <c r="AM114" i="1" s="1"/>
  <c r="AI115" i="1"/>
  <c r="AM115" i="1" s="1"/>
  <c r="AI116" i="1"/>
  <c r="AM116" i="1" s="1"/>
  <c r="AI117" i="1"/>
  <c r="AM117" i="1" s="1"/>
  <c r="AI118" i="1"/>
  <c r="AM118" i="1" s="1"/>
  <c r="AI119" i="1"/>
  <c r="AM119" i="1" s="1"/>
  <c r="AI120" i="1"/>
  <c r="AM120" i="1" s="1"/>
  <c r="AI121" i="1"/>
  <c r="AM121" i="1" s="1"/>
  <c r="AI122" i="1"/>
  <c r="AM122" i="1" s="1"/>
  <c r="AI123" i="1"/>
  <c r="AM123" i="1" s="1"/>
  <c r="AI124" i="1"/>
  <c r="AM124" i="1" s="1"/>
  <c r="AI125" i="1"/>
  <c r="AM125" i="1" s="1"/>
  <c r="AI126" i="1"/>
  <c r="AM126" i="1" s="1"/>
  <c r="AI127" i="1"/>
  <c r="AM127" i="1" s="1"/>
  <c r="AI128" i="1"/>
  <c r="AM128" i="1" s="1"/>
  <c r="AI129" i="1"/>
  <c r="AM129" i="1" s="1"/>
  <c r="AI130" i="1"/>
  <c r="AM130" i="1" s="1"/>
  <c r="AI131" i="1"/>
  <c r="AM131" i="1" s="1"/>
  <c r="AI132" i="1"/>
  <c r="AM132" i="1" s="1"/>
  <c r="AI133" i="1"/>
  <c r="AM133" i="1" s="1"/>
  <c r="AI134" i="1"/>
  <c r="AM134" i="1" s="1"/>
  <c r="AI135" i="1"/>
  <c r="AM135" i="1" s="1"/>
  <c r="AI136" i="1"/>
  <c r="AM136" i="1" s="1"/>
  <c r="AI137" i="1"/>
  <c r="AM137" i="1" s="1"/>
  <c r="AI138" i="1"/>
  <c r="AM138" i="1" s="1"/>
  <c r="AI139" i="1"/>
  <c r="AM139" i="1" s="1"/>
  <c r="AI140" i="1"/>
  <c r="AM140" i="1" s="1"/>
  <c r="AI141" i="1"/>
  <c r="AM141" i="1" s="1"/>
  <c r="AI142" i="1"/>
  <c r="AM142" i="1" s="1"/>
  <c r="AI143" i="1"/>
  <c r="AM143" i="1" s="1"/>
  <c r="AI144" i="1"/>
  <c r="AM144" i="1" s="1"/>
  <c r="AI145" i="1"/>
  <c r="AM145" i="1" s="1"/>
  <c r="AI146" i="1"/>
  <c r="AM146" i="1" s="1"/>
  <c r="AI147" i="1"/>
  <c r="AM147" i="1" s="1"/>
  <c r="AI148" i="1"/>
  <c r="AM148" i="1" s="1"/>
  <c r="AI149" i="1"/>
  <c r="AM149" i="1" s="1"/>
  <c r="AI150" i="1"/>
  <c r="AM150" i="1" s="1"/>
  <c r="AI151" i="1"/>
  <c r="AM151" i="1" s="1"/>
  <c r="AI152" i="1"/>
  <c r="AM152" i="1" s="1"/>
  <c r="AI153" i="1"/>
  <c r="AM153" i="1" s="1"/>
  <c r="AI154" i="1"/>
  <c r="AM154" i="1" s="1"/>
  <c r="AI155" i="1"/>
  <c r="AM155" i="1" s="1"/>
  <c r="AI156" i="1"/>
  <c r="AM156" i="1" s="1"/>
  <c r="AI157" i="1"/>
  <c r="AM157" i="1" s="1"/>
  <c r="AI158" i="1"/>
  <c r="AM158" i="1" s="1"/>
  <c r="AI159" i="1"/>
  <c r="AM159" i="1" s="1"/>
  <c r="AI160" i="1"/>
  <c r="AM160" i="1" s="1"/>
  <c r="AI161" i="1"/>
  <c r="AM161" i="1" s="1"/>
  <c r="AI162" i="1"/>
  <c r="AM162" i="1" s="1"/>
  <c r="AI163" i="1"/>
  <c r="AM163" i="1" s="1"/>
  <c r="AI164" i="1"/>
  <c r="AM164" i="1" s="1"/>
  <c r="AI165" i="1"/>
  <c r="AM165" i="1" s="1"/>
  <c r="AI166" i="1"/>
  <c r="AM166" i="1" s="1"/>
  <c r="AI167" i="1"/>
  <c r="AM167" i="1" s="1"/>
  <c r="AI168" i="1"/>
  <c r="AM168" i="1" s="1"/>
  <c r="AI169" i="1"/>
  <c r="AM169" i="1" s="1"/>
  <c r="AI170" i="1"/>
  <c r="AM170" i="1" s="1"/>
  <c r="AI171" i="1"/>
  <c r="AM171" i="1" s="1"/>
  <c r="AI172" i="1"/>
  <c r="AM172" i="1" s="1"/>
  <c r="AI173" i="1"/>
  <c r="AM173" i="1" s="1"/>
  <c r="AN173" i="1" s="1"/>
  <c r="AO173" i="1" s="1"/>
  <c r="AI174" i="1"/>
  <c r="AM174" i="1" s="1"/>
  <c r="AI175" i="1"/>
  <c r="AM175" i="1" s="1"/>
  <c r="AI176" i="1"/>
  <c r="AM176" i="1" s="1"/>
  <c r="AI177" i="1"/>
  <c r="AM177" i="1" s="1"/>
  <c r="AI178" i="1"/>
  <c r="AM178" i="1" s="1"/>
  <c r="AI179" i="1"/>
  <c r="AM179" i="1" s="1"/>
  <c r="AI180" i="1"/>
  <c r="AM180" i="1" s="1"/>
  <c r="AI181" i="1"/>
  <c r="AM181" i="1" s="1"/>
  <c r="AI182" i="1"/>
  <c r="AM182" i="1" s="1"/>
  <c r="AI183" i="1"/>
  <c r="AM183" i="1" s="1"/>
  <c r="AI184" i="1"/>
  <c r="AM184" i="1" s="1"/>
  <c r="AI185" i="1"/>
  <c r="AM185" i="1" s="1"/>
  <c r="AI186" i="1"/>
  <c r="AM186" i="1" s="1"/>
  <c r="AI187" i="1"/>
  <c r="AM187" i="1" s="1"/>
  <c r="AI188" i="1"/>
  <c r="AM188" i="1" s="1"/>
  <c r="AI189" i="1"/>
  <c r="AM189" i="1" s="1"/>
  <c r="AI190" i="1"/>
  <c r="AM190" i="1" s="1"/>
  <c r="AI191" i="1"/>
  <c r="AM191" i="1" s="1"/>
  <c r="AI192" i="1"/>
  <c r="AM192" i="1" s="1"/>
  <c r="AI193" i="1"/>
  <c r="AM193" i="1" s="1"/>
  <c r="AI194" i="1"/>
  <c r="AM194" i="1" s="1"/>
  <c r="AI195" i="1"/>
  <c r="AM195" i="1" s="1"/>
  <c r="AI196" i="1"/>
  <c r="AM196" i="1" s="1"/>
  <c r="AI197" i="1"/>
  <c r="AM197" i="1" s="1"/>
  <c r="AI198" i="1"/>
  <c r="AM198" i="1" s="1"/>
  <c r="AI199" i="1"/>
  <c r="AM199" i="1" s="1"/>
  <c r="AI200" i="1"/>
  <c r="AM200" i="1" s="1"/>
  <c r="AI201" i="1"/>
  <c r="AM201" i="1" s="1"/>
  <c r="AI202" i="1"/>
  <c r="AM202" i="1" s="1"/>
  <c r="AI203" i="1"/>
  <c r="AM203" i="1" s="1"/>
  <c r="AI204" i="1"/>
  <c r="AM204" i="1" s="1"/>
  <c r="AI205" i="1"/>
  <c r="AM205" i="1" s="1"/>
  <c r="AI206" i="1"/>
  <c r="AM206" i="1" s="1"/>
  <c r="AI207" i="1"/>
  <c r="AM207" i="1" s="1"/>
  <c r="AI208" i="1"/>
  <c r="AM208" i="1" s="1"/>
  <c r="AI209" i="1"/>
  <c r="AM209" i="1" s="1"/>
  <c r="AI210" i="1"/>
  <c r="AM210" i="1" s="1"/>
  <c r="AI211" i="1"/>
  <c r="AM211" i="1" s="1"/>
  <c r="AI212" i="1"/>
  <c r="AM212" i="1" s="1"/>
  <c r="AI213" i="1"/>
  <c r="AM213" i="1" s="1"/>
  <c r="AI214" i="1"/>
  <c r="AM214" i="1" s="1"/>
  <c r="AI215" i="1"/>
  <c r="AM215" i="1" s="1"/>
  <c r="AI216" i="1"/>
  <c r="AM216" i="1" s="1"/>
  <c r="AI217" i="1"/>
  <c r="AM217" i="1" s="1"/>
  <c r="AI218" i="1"/>
  <c r="AM218" i="1" s="1"/>
  <c r="AI219" i="1"/>
  <c r="AM219" i="1" s="1"/>
  <c r="AI220" i="1"/>
  <c r="AM220" i="1" s="1"/>
  <c r="AI221" i="1"/>
  <c r="AM221" i="1" s="1"/>
  <c r="AI222" i="1"/>
  <c r="AM222" i="1" s="1"/>
  <c r="AI223" i="1"/>
  <c r="AM223" i="1" s="1"/>
  <c r="AI224" i="1"/>
  <c r="AM224" i="1" s="1"/>
  <c r="AI225" i="1"/>
  <c r="AM225" i="1" s="1"/>
  <c r="AI226" i="1"/>
  <c r="AM226" i="1" s="1"/>
  <c r="AI227" i="1"/>
  <c r="AM227" i="1" s="1"/>
  <c r="AI228" i="1"/>
  <c r="AM228" i="1" s="1"/>
  <c r="AI229" i="1"/>
  <c r="AM229" i="1" s="1"/>
  <c r="AI230" i="1"/>
  <c r="AM230" i="1" s="1"/>
  <c r="AI231" i="1"/>
  <c r="AM231" i="1" s="1"/>
  <c r="AI232" i="1"/>
  <c r="AM232" i="1" s="1"/>
  <c r="AI233" i="1"/>
  <c r="AM233" i="1" s="1"/>
  <c r="AI234" i="1"/>
  <c r="AM234" i="1" s="1"/>
  <c r="AI235" i="1"/>
  <c r="AM235" i="1" s="1"/>
  <c r="AI236" i="1"/>
  <c r="AM236" i="1" s="1"/>
  <c r="AI237" i="1"/>
  <c r="AM237" i="1" s="1"/>
  <c r="AI238" i="1"/>
  <c r="AM238" i="1" s="1"/>
  <c r="AI239" i="1"/>
  <c r="AM239" i="1" s="1"/>
  <c r="AI240" i="1"/>
  <c r="AM240" i="1" s="1"/>
  <c r="AI241" i="1"/>
  <c r="AM241" i="1" s="1"/>
  <c r="AI242" i="1"/>
  <c r="AM242" i="1" s="1"/>
  <c r="AI243" i="1"/>
  <c r="AM243" i="1" s="1"/>
  <c r="AI244" i="1"/>
  <c r="AM244" i="1" s="1"/>
  <c r="AI245" i="1"/>
  <c r="AM245" i="1" s="1"/>
  <c r="AI246" i="1"/>
  <c r="AM246" i="1" s="1"/>
  <c r="AI247" i="1"/>
  <c r="AM247" i="1" s="1"/>
  <c r="AI248" i="1"/>
  <c r="AM248" i="1" s="1"/>
  <c r="AI249" i="1"/>
  <c r="AM249" i="1" s="1"/>
  <c r="AI250" i="1"/>
  <c r="AM250" i="1" s="1"/>
  <c r="AI251" i="1"/>
  <c r="AM251" i="1" s="1"/>
  <c r="AI252" i="1"/>
  <c r="AM252" i="1" s="1"/>
  <c r="AI253" i="1"/>
  <c r="AM253" i="1" s="1"/>
  <c r="AI254" i="1"/>
  <c r="AM254" i="1" s="1"/>
  <c r="AI255" i="1"/>
  <c r="AM255" i="1" s="1"/>
  <c r="AI256" i="1"/>
  <c r="AM256" i="1" s="1"/>
  <c r="AI257" i="1"/>
  <c r="AM257" i="1" s="1"/>
  <c r="AI258" i="1"/>
  <c r="AM258" i="1" s="1"/>
  <c r="AI259" i="1"/>
  <c r="AM259" i="1" s="1"/>
  <c r="AI260" i="1"/>
  <c r="AM260" i="1" s="1"/>
  <c r="AI261" i="1"/>
  <c r="AM261" i="1" s="1"/>
  <c r="AI262" i="1"/>
  <c r="AM262" i="1" s="1"/>
  <c r="AI263" i="1"/>
  <c r="AM263" i="1" s="1"/>
  <c r="AI264" i="1"/>
  <c r="AM264" i="1" s="1"/>
  <c r="AI265" i="1"/>
  <c r="AM265" i="1" s="1"/>
  <c r="AI266" i="1"/>
  <c r="AM266" i="1" s="1"/>
  <c r="AI267" i="1"/>
  <c r="AM267" i="1" s="1"/>
  <c r="AI268" i="1"/>
  <c r="AM268" i="1" s="1"/>
  <c r="AI269" i="1"/>
  <c r="AM269" i="1" s="1"/>
  <c r="AI270" i="1"/>
  <c r="AM270" i="1" s="1"/>
  <c r="AI271" i="1"/>
  <c r="AM271" i="1" s="1"/>
  <c r="AI272" i="1"/>
  <c r="AM272" i="1" s="1"/>
  <c r="AI273" i="1"/>
  <c r="AM273" i="1" s="1"/>
  <c r="AI274" i="1"/>
  <c r="AM274" i="1" s="1"/>
  <c r="AI275" i="1"/>
  <c r="AM275" i="1" s="1"/>
  <c r="AI276" i="1"/>
  <c r="AM276" i="1" s="1"/>
  <c r="AI277" i="1"/>
  <c r="AM277" i="1" s="1"/>
  <c r="AI278" i="1"/>
  <c r="AM278" i="1" s="1"/>
  <c r="AI279" i="1"/>
  <c r="AM279" i="1" s="1"/>
  <c r="AI280" i="1"/>
  <c r="AM280" i="1" s="1"/>
  <c r="AI281" i="1"/>
  <c r="AM281" i="1" s="1"/>
  <c r="AI282" i="1"/>
  <c r="AM282" i="1" s="1"/>
  <c r="AI283" i="1"/>
  <c r="AM283" i="1" s="1"/>
  <c r="AI284" i="1"/>
  <c r="AM284" i="1" s="1"/>
  <c r="AI285" i="1"/>
  <c r="AM285" i="1" s="1"/>
  <c r="AI286" i="1"/>
  <c r="AM286" i="1" s="1"/>
  <c r="AI287" i="1"/>
  <c r="AM287" i="1" s="1"/>
  <c r="AI288" i="1"/>
  <c r="AM288" i="1" s="1"/>
  <c r="AI289" i="1"/>
  <c r="AM289" i="1" s="1"/>
  <c r="AI290" i="1"/>
  <c r="AM290" i="1" s="1"/>
  <c r="AI291" i="1"/>
  <c r="AM291" i="1" s="1"/>
  <c r="AI292" i="1"/>
  <c r="AM292" i="1" s="1"/>
  <c r="AI293" i="1"/>
  <c r="AM293" i="1" s="1"/>
  <c r="AI294" i="1"/>
  <c r="AM294" i="1" s="1"/>
  <c r="AI295" i="1"/>
  <c r="AM295" i="1" s="1"/>
  <c r="AI296" i="1"/>
  <c r="AM296" i="1" s="1"/>
  <c r="AI297" i="1"/>
  <c r="AM297" i="1" s="1"/>
  <c r="AI298" i="1"/>
  <c r="AM298" i="1" s="1"/>
  <c r="AI299" i="1"/>
  <c r="AM299" i="1" s="1"/>
  <c r="AI300" i="1"/>
  <c r="AM300" i="1" s="1"/>
  <c r="AI301" i="1"/>
  <c r="AM301" i="1" s="1"/>
  <c r="AI302" i="1"/>
  <c r="AM302" i="1" s="1"/>
  <c r="AI303" i="1"/>
  <c r="AM303" i="1" s="1"/>
  <c r="AI304" i="1"/>
  <c r="AM304" i="1" s="1"/>
  <c r="AI305" i="1"/>
  <c r="AM305" i="1" s="1"/>
  <c r="AI306" i="1"/>
  <c r="AM306" i="1" s="1"/>
  <c r="AI307" i="1"/>
  <c r="AM307" i="1" s="1"/>
  <c r="AI308" i="1"/>
  <c r="AM308" i="1" s="1"/>
  <c r="AI309" i="1"/>
  <c r="AM309" i="1" s="1"/>
  <c r="AI310" i="1"/>
  <c r="AM310" i="1" s="1"/>
  <c r="AI311" i="1"/>
  <c r="AM311" i="1" s="1"/>
  <c r="AI312" i="1"/>
  <c r="AM312" i="1" s="1"/>
  <c r="AI313" i="1"/>
  <c r="AM313" i="1" s="1"/>
  <c r="AI314" i="1"/>
  <c r="AM314" i="1" s="1"/>
  <c r="AI315" i="1"/>
  <c r="AM315" i="1" s="1"/>
  <c r="AI316" i="1"/>
  <c r="AM316" i="1" s="1"/>
  <c r="AI317" i="1"/>
  <c r="AM317" i="1" s="1"/>
  <c r="AN317" i="1" s="1"/>
  <c r="AO317" i="1" s="1"/>
  <c r="AI318" i="1"/>
  <c r="AM318" i="1" s="1"/>
  <c r="AI319" i="1"/>
  <c r="AM319" i="1" s="1"/>
  <c r="AI320" i="1"/>
  <c r="AM320" i="1" s="1"/>
  <c r="AI321" i="1"/>
  <c r="AM321" i="1" s="1"/>
  <c r="AI322" i="1"/>
  <c r="AM322" i="1" s="1"/>
  <c r="AI323" i="1"/>
  <c r="AM323" i="1" s="1"/>
  <c r="AI324" i="1"/>
  <c r="AM324" i="1" s="1"/>
  <c r="AI325" i="1"/>
  <c r="AM325" i="1" s="1"/>
  <c r="AI326" i="1"/>
  <c r="AM326" i="1" s="1"/>
  <c r="AI327" i="1"/>
  <c r="AM327" i="1" s="1"/>
  <c r="AI328" i="1"/>
  <c r="AM328" i="1" s="1"/>
  <c r="AI329" i="1"/>
  <c r="AM329" i="1" s="1"/>
  <c r="AI330" i="1"/>
  <c r="AM330" i="1" s="1"/>
  <c r="AI331" i="1"/>
  <c r="AM331" i="1" s="1"/>
  <c r="AI332" i="1"/>
  <c r="AM332" i="1" s="1"/>
  <c r="AI333" i="1"/>
  <c r="AM333" i="1" s="1"/>
  <c r="AN333" i="1" s="1"/>
  <c r="AO333" i="1" s="1"/>
  <c r="AI334" i="1"/>
  <c r="AM334" i="1" s="1"/>
  <c r="AI335" i="1"/>
  <c r="AM335" i="1" s="1"/>
  <c r="AI336" i="1"/>
  <c r="AM336" i="1" s="1"/>
  <c r="AI337" i="1"/>
  <c r="AM337" i="1" s="1"/>
  <c r="AI338" i="1"/>
  <c r="AM338" i="1" s="1"/>
  <c r="AI339" i="1"/>
  <c r="AM339" i="1" s="1"/>
  <c r="AI340" i="1"/>
  <c r="AM340" i="1" s="1"/>
  <c r="AI341" i="1"/>
  <c r="AM341" i="1" s="1"/>
  <c r="AI342" i="1"/>
  <c r="AM342" i="1" s="1"/>
  <c r="AI343" i="1"/>
  <c r="AM343" i="1" s="1"/>
  <c r="AI344" i="1"/>
  <c r="AM344" i="1" s="1"/>
  <c r="AI345" i="1"/>
  <c r="AM345" i="1" s="1"/>
  <c r="AI346" i="1"/>
  <c r="AM346" i="1" s="1"/>
  <c r="AI347" i="1"/>
  <c r="AM347" i="1" s="1"/>
  <c r="AI348" i="1"/>
  <c r="AM348" i="1" s="1"/>
  <c r="AI349" i="1"/>
  <c r="AM349" i="1" s="1"/>
  <c r="AI350" i="1"/>
  <c r="AM350" i="1" s="1"/>
  <c r="AI351" i="1"/>
  <c r="AM351" i="1" s="1"/>
  <c r="AI352" i="1"/>
  <c r="AM352" i="1" s="1"/>
  <c r="AI353" i="1"/>
  <c r="AM353" i="1" s="1"/>
  <c r="AI354" i="1"/>
  <c r="AM354" i="1" s="1"/>
  <c r="AI355" i="1"/>
  <c r="AM355" i="1" s="1"/>
  <c r="AI356" i="1"/>
  <c r="AM356" i="1" s="1"/>
  <c r="AI357" i="1"/>
  <c r="AM357" i="1" s="1"/>
  <c r="AI358" i="1"/>
  <c r="AM358" i="1" s="1"/>
  <c r="AI359" i="1"/>
  <c r="AM359" i="1" s="1"/>
  <c r="AI360" i="1"/>
  <c r="AM360" i="1" s="1"/>
  <c r="AI361" i="1"/>
  <c r="AM361" i="1" s="1"/>
  <c r="AI362" i="1"/>
  <c r="AM362" i="1" s="1"/>
  <c r="AI363" i="1"/>
  <c r="AM363" i="1" s="1"/>
  <c r="AI364" i="1"/>
  <c r="AM364" i="1" s="1"/>
  <c r="AI365" i="1"/>
  <c r="AM365" i="1" s="1"/>
  <c r="AI366" i="1"/>
  <c r="AM366" i="1" s="1"/>
  <c r="AI367" i="1"/>
  <c r="AM367" i="1" s="1"/>
  <c r="AI368" i="1"/>
  <c r="AM368" i="1" s="1"/>
  <c r="AI369" i="1"/>
  <c r="AM369" i="1" s="1"/>
  <c r="AI370" i="1"/>
  <c r="AM370" i="1" s="1"/>
  <c r="AI371" i="1"/>
  <c r="AM371" i="1" s="1"/>
  <c r="AI372" i="1"/>
  <c r="AM372" i="1" s="1"/>
  <c r="AI373" i="1"/>
  <c r="AM373" i="1" s="1"/>
  <c r="AI374" i="1"/>
  <c r="AM374" i="1" s="1"/>
  <c r="AI375" i="1"/>
  <c r="AM375" i="1" s="1"/>
  <c r="AI376" i="1"/>
  <c r="AM376" i="1" s="1"/>
  <c r="AI377" i="1"/>
  <c r="AM377" i="1" s="1"/>
  <c r="AI378" i="1"/>
  <c r="AM378" i="1" s="1"/>
  <c r="AI379" i="1"/>
  <c r="AM379" i="1" s="1"/>
  <c r="AI380" i="1"/>
  <c r="AM380" i="1" s="1"/>
  <c r="AI381" i="1"/>
  <c r="AM381" i="1" s="1"/>
  <c r="AI382" i="1"/>
  <c r="AM382" i="1" s="1"/>
  <c r="AI383" i="1"/>
  <c r="AM383" i="1" s="1"/>
  <c r="AI384" i="1"/>
  <c r="AM384" i="1" s="1"/>
  <c r="AI385" i="1"/>
  <c r="AM385" i="1" s="1"/>
  <c r="AI386" i="1"/>
  <c r="AM386" i="1" s="1"/>
  <c r="AI387" i="1"/>
  <c r="AM387" i="1" s="1"/>
  <c r="AI388" i="1"/>
  <c r="AM388" i="1" s="1"/>
  <c r="AI389" i="1"/>
  <c r="AM389" i="1" s="1"/>
  <c r="AI390" i="1"/>
  <c r="AM390" i="1" s="1"/>
  <c r="AI391" i="1"/>
  <c r="AM391" i="1" s="1"/>
  <c r="AI392" i="1"/>
  <c r="AM392" i="1" s="1"/>
  <c r="AI393" i="1"/>
  <c r="AM393" i="1" s="1"/>
  <c r="AI394" i="1"/>
  <c r="AM394" i="1" s="1"/>
  <c r="AI395" i="1"/>
  <c r="AM395" i="1" s="1"/>
  <c r="AI396" i="1"/>
  <c r="AM396" i="1" s="1"/>
  <c r="AI397" i="1"/>
  <c r="AM397" i="1" s="1"/>
  <c r="AI398" i="1"/>
  <c r="AM398" i="1" s="1"/>
  <c r="AI399" i="1"/>
  <c r="AM399" i="1" s="1"/>
  <c r="AI400" i="1"/>
  <c r="AM400" i="1" s="1"/>
  <c r="AI401" i="1"/>
  <c r="AM401" i="1" s="1"/>
  <c r="AI402" i="1"/>
  <c r="AM402" i="1" s="1"/>
  <c r="AI403" i="1"/>
  <c r="AM403" i="1" s="1"/>
  <c r="AI404" i="1"/>
  <c r="AM404" i="1" s="1"/>
  <c r="AI405" i="1"/>
  <c r="AM405" i="1" s="1"/>
  <c r="AI406" i="1"/>
  <c r="AM406" i="1" s="1"/>
  <c r="AI407" i="1"/>
  <c r="AM407" i="1" s="1"/>
  <c r="AI408" i="1"/>
  <c r="AM408" i="1" s="1"/>
  <c r="AI409" i="1"/>
  <c r="AM409" i="1" s="1"/>
  <c r="AI410" i="1"/>
  <c r="AM410" i="1" s="1"/>
  <c r="AI411" i="1"/>
  <c r="AM411" i="1" s="1"/>
  <c r="AI412" i="1"/>
  <c r="AM412" i="1" s="1"/>
  <c r="AI413" i="1"/>
  <c r="AM413" i="1" s="1"/>
  <c r="AI414" i="1"/>
  <c r="AM414" i="1" s="1"/>
  <c r="AI415" i="1"/>
  <c r="AM415" i="1" s="1"/>
  <c r="AI416" i="1"/>
  <c r="AM416" i="1" s="1"/>
  <c r="AI417" i="1"/>
  <c r="AM417" i="1" s="1"/>
  <c r="AI418" i="1"/>
  <c r="AM418" i="1" s="1"/>
  <c r="AI419" i="1"/>
  <c r="AM419" i="1" s="1"/>
  <c r="AI420" i="1"/>
  <c r="AM420" i="1" s="1"/>
  <c r="AI421" i="1"/>
  <c r="AM421" i="1" s="1"/>
  <c r="AI422" i="1"/>
  <c r="AM422" i="1" s="1"/>
  <c r="AI423" i="1"/>
  <c r="AM423" i="1" s="1"/>
  <c r="AI424" i="1"/>
  <c r="AM424" i="1" s="1"/>
  <c r="AI425" i="1"/>
  <c r="AM425" i="1" s="1"/>
  <c r="AI426" i="1"/>
  <c r="AM426" i="1" s="1"/>
  <c r="AI427" i="1"/>
  <c r="AM427" i="1" s="1"/>
  <c r="AI428" i="1"/>
  <c r="AM428" i="1" s="1"/>
  <c r="AI429" i="1"/>
  <c r="AM429" i="1" s="1"/>
  <c r="AI430" i="1"/>
  <c r="AM430" i="1" s="1"/>
  <c r="AI431" i="1"/>
  <c r="AM431" i="1" s="1"/>
  <c r="AI432" i="1"/>
  <c r="AM432" i="1" s="1"/>
  <c r="AI433" i="1"/>
  <c r="AM433" i="1" s="1"/>
  <c r="AI434" i="1"/>
  <c r="AM434" i="1" s="1"/>
  <c r="AI435" i="1"/>
  <c r="AM435" i="1" s="1"/>
  <c r="AI436" i="1"/>
  <c r="AM436" i="1" s="1"/>
  <c r="AI437" i="1"/>
  <c r="AM437" i="1" s="1"/>
  <c r="AI438" i="1"/>
  <c r="AM438" i="1" s="1"/>
  <c r="AI439" i="1"/>
  <c r="AM439" i="1" s="1"/>
  <c r="AI440" i="1"/>
  <c r="AM440" i="1" s="1"/>
  <c r="AI441" i="1"/>
  <c r="AM441" i="1" s="1"/>
  <c r="AI442" i="1"/>
  <c r="AM442" i="1" s="1"/>
  <c r="AI443" i="1"/>
  <c r="AM443" i="1" s="1"/>
  <c r="AI444" i="1"/>
  <c r="AM444" i="1" s="1"/>
  <c r="AI445" i="1"/>
  <c r="AM445" i="1" s="1"/>
  <c r="AI446" i="1"/>
  <c r="AM446" i="1" s="1"/>
  <c r="AI447" i="1"/>
  <c r="AM447" i="1" s="1"/>
  <c r="AI448" i="1"/>
  <c r="AM448" i="1" s="1"/>
  <c r="AI449" i="1"/>
  <c r="AM449" i="1" s="1"/>
  <c r="AI450" i="1"/>
  <c r="AM450" i="1" s="1"/>
  <c r="AI451" i="1"/>
  <c r="AM451" i="1" s="1"/>
  <c r="AI452" i="1"/>
  <c r="AM452" i="1" s="1"/>
  <c r="AI453" i="1"/>
  <c r="AM453" i="1" s="1"/>
  <c r="AI454" i="1"/>
  <c r="AM454" i="1" s="1"/>
  <c r="AI455" i="1"/>
  <c r="AM455" i="1" s="1"/>
  <c r="AI456" i="1"/>
  <c r="AM456" i="1" s="1"/>
  <c r="AI457" i="1"/>
  <c r="AM457" i="1" s="1"/>
  <c r="AI458" i="1"/>
  <c r="AM458" i="1" s="1"/>
  <c r="AI459" i="1"/>
  <c r="AM459" i="1" s="1"/>
  <c r="AI460" i="1"/>
  <c r="AM460" i="1" s="1"/>
  <c r="AI461" i="1"/>
  <c r="AM461" i="1" s="1"/>
  <c r="AI462" i="1"/>
  <c r="AM462" i="1" s="1"/>
  <c r="AI463" i="1"/>
  <c r="AM463" i="1" s="1"/>
  <c r="AI464" i="1"/>
  <c r="AM464" i="1" s="1"/>
  <c r="AI465" i="1"/>
  <c r="AM465" i="1" s="1"/>
  <c r="AI466" i="1"/>
  <c r="AM466" i="1" s="1"/>
  <c r="AI467" i="1"/>
  <c r="AM467" i="1" s="1"/>
  <c r="AI468" i="1"/>
  <c r="AM468" i="1" s="1"/>
  <c r="AI469" i="1"/>
  <c r="AM469" i="1" s="1"/>
  <c r="AI470" i="1"/>
  <c r="AM470" i="1" s="1"/>
  <c r="AI471" i="1"/>
  <c r="AM471" i="1" s="1"/>
  <c r="AI472" i="1"/>
  <c r="AM472" i="1" s="1"/>
  <c r="AI473" i="1"/>
  <c r="AM473" i="1" s="1"/>
  <c r="AI474" i="1"/>
  <c r="AM474" i="1" s="1"/>
  <c r="AI475" i="1"/>
  <c r="AM475" i="1" s="1"/>
  <c r="AI476" i="1"/>
  <c r="AM476" i="1" s="1"/>
  <c r="AI477" i="1"/>
  <c r="AM477" i="1" s="1"/>
  <c r="AI478" i="1"/>
  <c r="AM478" i="1" s="1"/>
  <c r="AI479" i="1"/>
  <c r="AM479" i="1" s="1"/>
  <c r="AI480" i="1"/>
  <c r="AM480" i="1" s="1"/>
  <c r="AI481" i="1"/>
  <c r="AM481" i="1" s="1"/>
  <c r="AI482" i="1"/>
  <c r="AM482" i="1" s="1"/>
  <c r="AI483" i="1"/>
  <c r="AM483" i="1" s="1"/>
  <c r="AI484" i="1"/>
  <c r="AM484" i="1" s="1"/>
  <c r="AI485" i="1"/>
  <c r="AM485" i="1" s="1"/>
  <c r="AI486" i="1"/>
  <c r="AM486" i="1" s="1"/>
  <c r="AI487" i="1"/>
  <c r="AM487" i="1" s="1"/>
  <c r="AI488" i="1"/>
  <c r="AM488" i="1" s="1"/>
  <c r="AI489" i="1"/>
  <c r="AM489" i="1" s="1"/>
  <c r="AI490" i="1"/>
  <c r="AM490" i="1" s="1"/>
  <c r="AI491" i="1"/>
  <c r="AM491" i="1" s="1"/>
  <c r="AI492" i="1"/>
  <c r="AM492" i="1" s="1"/>
  <c r="AI493" i="1"/>
  <c r="AM493" i="1" s="1"/>
  <c r="AI494" i="1"/>
  <c r="AM494" i="1" s="1"/>
  <c r="AI495" i="1"/>
  <c r="AM495" i="1" s="1"/>
  <c r="AI496" i="1"/>
  <c r="AM496" i="1" s="1"/>
  <c r="AI497" i="1"/>
  <c r="AM497" i="1" s="1"/>
  <c r="AI498" i="1"/>
  <c r="AM498" i="1" s="1"/>
  <c r="AI499" i="1"/>
  <c r="AM499" i="1" s="1"/>
  <c r="AI500" i="1"/>
  <c r="AM500" i="1" s="1"/>
  <c r="AI501" i="1"/>
  <c r="AM501" i="1" s="1"/>
  <c r="AI502" i="1"/>
  <c r="AM502" i="1" s="1"/>
  <c r="AI503" i="1"/>
  <c r="AM503" i="1" s="1"/>
  <c r="AI504" i="1"/>
  <c r="AM504" i="1" s="1"/>
  <c r="AI505" i="1"/>
  <c r="AM505" i="1" s="1"/>
  <c r="AI506" i="1"/>
  <c r="AM506" i="1" s="1"/>
  <c r="AI507" i="1"/>
  <c r="AM507" i="1" s="1"/>
  <c r="AI508" i="1"/>
  <c r="AM508" i="1" s="1"/>
  <c r="AI509" i="1"/>
  <c r="AM509" i="1" s="1"/>
  <c r="AI510" i="1"/>
  <c r="AM510" i="1" s="1"/>
  <c r="AI511" i="1"/>
  <c r="AM511" i="1" s="1"/>
  <c r="AI512" i="1"/>
  <c r="AM512" i="1" s="1"/>
  <c r="AI513" i="1"/>
  <c r="AM513" i="1" s="1"/>
  <c r="AI514" i="1"/>
  <c r="AM514" i="1" s="1"/>
  <c r="AI515" i="1"/>
  <c r="AM515" i="1" s="1"/>
  <c r="AI516" i="1"/>
  <c r="AM516" i="1" s="1"/>
  <c r="AI517" i="1"/>
  <c r="AM517" i="1" s="1"/>
  <c r="AI518" i="1"/>
  <c r="AM518" i="1" s="1"/>
  <c r="AI519" i="1"/>
  <c r="AM519" i="1" s="1"/>
  <c r="AI520" i="1"/>
  <c r="AM520" i="1" s="1"/>
  <c r="AI521" i="1"/>
  <c r="AM521" i="1" s="1"/>
  <c r="AI522" i="1"/>
  <c r="AM522" i="1" s="1"/>
  <c r="AI523" i="1"/>
  <c r="AM523" i="1" s="1"/>
  <c r="AI524" i="1"/>
  <c r="AM524" i="1" s="1"/>
  <c r="AI525" i="1"/>
  <c r="AM525" i="1" s="1"/>
  <c r="AI526" i="1"/>
  <c r="AM526" i="1" s="1"/>
  <c r="AI527" i="1"/>
  <c r="AM527" i="1" s="1"/>
  <c r="AI528" i="1"/>
  <c r="AM528" i="1" s="1"/>
  <c r="AI529" i="1"/>
  <c r="AM529" i="1" s="1"/>
  <c r="AI530" i="1"/>
  <c r="AM530" i="1" s="1"/>
  <c r="AI531" i="1"/>
  <c r="AM531" i="1" s="1"/>
  <c r="AI532" i="1"/>
  <c r="AM532" i="1" s="1"/>
  <c r="AI533" i="1"/>
  <c r="AM533" i="1" s="1"/>
  <c r="AI534" i="1"/>
  <c r="AM534" i="1" s="1"/>
  <c r="AI535" i="1"/>
  <c r="AM535" i="1" s="1"/>
  <c r="AI536" i="1"/>
  <c r="AM536" i="1" s="1"/>
  <c r="AI537" i="1"/>
  <c r="AM537" i="1" s="1"/>
  <c r="AI538" i="1"/>
  <c r="AM538" i="1" s="1"/>
  <c r="AI539" i="1"/>
  <c r="AM539" i="1" s="1"/>
  <c r="AI540" i="1"/>
  <c r="AM540" i="1" s="1"/>
  <c r="AI541" i="1"/>
  <c r="AM541" i="1" s="1"/>
  <c r="AI542" i="1"/>
  <c r="AM542" i="1" s="1"/>
  <c r="AI543" i="1"/>
  <c r="AM543" i="1" s="1"/>
  <c r="AI544" i="1"/>
  <c r="AM544" i="1" s="1"/>
  <c r="AI545" i="1"/>
  <c r="AM545" i="1" s="1"/>
  <c r="AI546" i="1"/>
  <c r="AM546" i="1" s="1"/>
  <c r="AI547" i="1"/>
  <c r="AM547" i="1" s="1"/>
  <c r="AI548" i="1"/>
  <c r="AM548" i="1" s="1"/>
  <c r="AI549" i="1"/>
  <c r="AM549" i="1" s="1"/>
  <c r="AI550" i="1"/>
  <c r="AM550" i="1" s="1"/>
  <c r="AI551" i="1"/>
  <c r="AM551" i="1" s="1"/>
  <c r="AI552" i="1"/>
  <c r="AM552" i="1" s="1"/>
  <c r="AI553" i="1"/>
  <c r="AM553" i="1" s="1"/>
  <c r="AI554" i="1"/>
  <c r="AM554" i="1" s="1"/>
  <c r="AI555" i="1"/>
  <c r="AM555" i="1" s="1"/>
  <c r="AI556" i="1"/>
  <c r="AM556" i="1" s="1"/>
  <c r="AI557" i="1"/>
  <c r="AM557" i="1" s="1"/>
  <c r="AI558" i="1"/>
  <c r="AM558" i="1" s="1"/>
  <c r="AI559" i="1"/>
  <c r="AM559" i="1" s="1"/>
  <c r="AI560" i="1"/>
  <c r="AM560" i="1" s="1"/>
  <c r="AI561" i="1"/>
  <c r="AM561" i="1" s="1"/>
  <c r="AI562" i="1"/>
  <c r="AM562" i="1" s="1"/>
  <c r="AI563" i="1"/>
  <c r="AM563" i="1" s="1"/>
  <c r="AI564" i="1"/>
  <c r="AM564" i="1" s="1"/>
  <c r="AI565" i="1"/>
  <c r="AM565" i="1" s="1"/>
  <c r="AI566" i="1"/>
  <c r="AM566" i="1" s="1"/>
  <c r="AI567" i="1"/>
  <c r="AM567" i="1" s="1"/>
  <c r="AI568" i="1"/>
  <c r="AM568" i="1" s="1"/>
  <c r="AI569" i="1"/>
  <c r="AM569" i="1" s="1"/>
  <c r="AI570" i="1"/>
  <c r="AM570" i="1" s="1"/>
  <c r="AI571" i="1"/>
  <c r="AM571" i="1" s="1"/>
  <c r="AI572" i="1"/>
  <c r="AM572" i="1" s="1"/>
  <c r="AI573" i="1"/>
  <c r="AM573" i="1" s="1"/>
  <c r="AI574" i="1"/>
  <c r="AM574" i="1" s="1"/>
  <c r="AI575" i="1"/>
  <c r="AM575" i="1" s="1"/>
  <c r="AI576" i="1"/>
  <c r="AM576" i="1" s="1"/>
  <c r="AI577" i="1"/>
  <c r="AM577" i="1" s="1"/>
  <c r="AI578" i="1"/>
  <c r="AM578" i="1" s="1"/>
  <c r="AI579" i="1"/>
  <c r="AM579" i="1" s="1"/>
  <c r="AI580" i="1"/>
  <c r="AM580" i="1" s="1"/>
  <c r="AI581" i="1"/>
  <c r="AM581" i="1" s="1"/>
  <c r="AI582" i="1"/>
  <c r="AM582" i="1" s="1"/>
  <c r="AI583" i="1"/>
  <c r="AM583" i="1" s="1"/>
  <c r="AI584" i="1"/>
  <c r="AM584" i="1" s="1"/>
  <c r="AI585" i="1"/>
  <c r="AM585" i="1" s="1"/>
  <c r="AI586" i="1"/>
  <c r="AM586" i="1" s="1"/>
  <c r="AI587" i="1"/>
  <c r="AM587" i="1" s="1"/>
  <c r="AI588" i="1"/>
  <c r="AM588" i="1" s="1"/>
  <c r="AI589" i="1"/>
  <c r="AM589" i="1" s="1"/>
  <c r="AI590" i="1"/>
  <c r="AM590" i="1" s="1"/>
  <c r="AI591" i="1"/>
  <c r="AM591" i="1" s="1"/>
  <c r="AI592" i="1"/>
  <c r="AM592" i="1" s="1"/>
  <c r="AI593" i="1"/>
  <c r="AM593" i="1" s="1"/>
  <c r="AI594" i="1"/>
  <c r="AM594" i="1" s="1"/>
  <c r="AI595" i="1"/>
  <c r="AM595" i="1" s="1"/>
  <c r="AI596" i="1"/>
  <c r="AM596" i="1" s="1"/>
  <c r="AI597" i="1"/>
  <c r="AM597" i="1" s="1"/>
  <c r="AI598" i="1"/>
  <c r="AM598" i="1" s="1"/>
  <c r="AI599" i="1"/>
  <c r="AM599" i="1" s="1"/>
  <c r="AI600" i="1"/>
  <c r="AM600" i="1" s="1"/>
  <c r="AI601" i="1"/>
  <c r="AM601" i="1" s="1"/>
  <c r="AI602" i="1"/>
  <c r="AM602" i="1" s="1"/>
  <c r="AI603" i="1"/>
  <c r="AM603" i="1" s="1"/>
  <c r="AI604" i="1"/>
  <c r="AM604" i="1" s="1"/>
  <c r="AI605" i="1"/>
  <c r="AM605" i="1" s="1"/>
  <c r="AI606" i="1"/>
  <c r="AM606" i="1" s="1"/>
  <c r="AI607" i="1"/>
  <c r="AM607" i="1" s="1"/>
  <c r="AI608" i="1"/>
  <c r="AM608" i="1" s="1"/>
  <c r="AI609" i="1"/>
  <c r="AM609" i="1" s="1"/>
  <c r="AI610" i="1"/>
  <c r="AM610" i="1" s="1"/>
  <c r="AI611" i="1"/>
  <c r="AM611" i="1" s="1"/>
  <c r="AI612" i="1"/>
  <c r="AM612" i="1" s="1"/>
  <c r="AI613" i="1"/>
  <c r="AM613" i="1" s="1"/>
  <c r="AI614" i="1"/>
  <c r="AM614" i="1" s="1"/>
  <c r="AI615" i="1"/>
  <c r="AM615" i="1" s="1"/>
  <c r="AI616" i="1"/>
  <c r="AM616" i="1" s="1"/>
  <c r="AI617" i="1"/>
  <c r="AM617" i="1" s="1"/>
  <c r="AI618" i="1"/>
  <c r="AM618" i="1" s="1"/>
  <c r="AI619" i="1"/>
  <c r="AM619" i="1" s="1"/>
  <c r="AI620" i="1"/>
  <c r="AM620" i="1" s="1"/>
  <c r="AI621" i="1"/>
  <c r="AM621" i="1" s="1"/>
  <c r="AI622" i="1"/>
  <c r="AM622" i="1" s="1"/>
  <c r="AI623" i="1"/>
  <c r="AM623" i="1" s="1"/>
  <c r="AI624" i="1"/>
  <c r="AM624" i="1" s="1"/>
  <c r="AI625" i="1"/>
  <c r="AM625" i="1" s="1"/>
  <c r="AI626" i="1"/>
  <c r="AM626" i="1" s="1"/>
  <c r="AI627" i="1"/>
  <c r="AM627" i="1" s="1"/>
  <c r="AI628" i="1"/>
  <c r="AM628" i="1" s="1"/>
  <c r="AI629" i="1"/>
  <c r="AM629" i="1" s="1"/>
  <c r="AI630" i="1"/>
  <c r="AM630" i="1" s="1"/>
  <c r="AI631" i="1"/>
  <c r="AM631" i="1" s="1"/>
  <c r="AI632" i="1"/>
  <c r="AM632" i="1" s="1"/>
  <c r="AI633" i="1"/>
  <c r="AM633" i="1" s="1"/>
  <c r="AI634" i="1"/>
  <c r="AM634" i="1" s="1"/>
  <c r="AI635" i="1"/>
  <c r="AM635" i="1" s="1"/>
  <c r="AI636" i="1"/>
  <c r="AM636" i="1" s="1"/>
  <c r="AI637" i="1"/>
  <c r="AM637" i="1" s="1"/>
  <c r="AI638" i="1"/>
  <c r="AM638" i="1" s="1"/>
  <c r="AI639" i="1"/>
  <c r="AM639" i="1" s="1"/>
  <c r="AI640" i="1"/>
  <c r="AM640" i="1" s="1"/>
  <c r="AI641" i="1"/>
  <c r="AM641" i="1" s="1"/>
  <c r="AI642" i="1"/>
  <c r="AM642" i="1" s="1"/>
  <c r="AI643" i="1"/>
  <c r="AM643" i="1" s="1"/>
  <c r="AI644" i="1"/>
  <c r="AM644" i="1" s="1"/>
  <c r="AI645" i="1"/>
  <c r="AM645" i="1" s="1"/>
  <c r="AI646" i="1"/>
  <c r="AM646" i="1" s="1"/>
  <c r="AI647" i="1"/>
  <c r="AM647" i="1" s="1"/>
  <c r="AI648" i="1"/>
  <c r="AM648" i="1" s="1"/>
  <c r="AI649" i="1"/>
  <c r="AM649" i="1" s="1"/>
  <c r="AI650" i="1"/>
  <c r="AM650" i="1" s="1"/>
  <c r="AH2" i="1"/>
  <c r="C5" i="7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G7" i="7" l="1"/>
  <c r="C8" i="7"/>
  <c r="G9" i="7" s="1"/>
  <c r="AN152" i="1"/>
  <c r="AO152" i="1" s="1"/>
  <c r="AN473" i="1"/>
  <c r="AO473" i="1" s="1"/>
  <c r="AN441" i="1"/>
  <c r="AO441" i="1" s="1"/>
  <c r="AN409" i="1"/>
  <c r="AO409" i="1" s="1"/>
  <c r="AN377" i="1"/>
  <c r="AO377" i="1" s="1"/>
  <c r="AN345" i="1"/>
  <c r="AO345" i="1" s="1"/>
  <c r="AN169" i="1"/>
  <c r="AO169" i="1" s="1"/>
  <c r="AN105" i="1"/>
  <c r="AO105" i="1" s="1"/>
  <c r="AN41" i="1"/>
  <c r="AO41" i="1" s="1"/>
  <c r="AN642" i="1"/>
  <c r="AO642" i="1" s="1"/>
  <c r="AN626" i="1"/>
  <c r="AO626" i="1" s="1"/>
  <c r="AN610" i="1"/>
  <c r="AO610" i="1" s="1"/>
  <c r="AN594" i="1"/>
  <c r="AO594" i="1" s="1"/>
  <c r="AN578" i="1"/>
  <c r="AO578" i="1" s="1"/>
  <c r="AN562" i="1"/>
  <c r="AO562" i="1" s="1"/>
  <c r="AN546" i="1"/>
  <c r="AO546" i="1" s="1"/>
  <c r="AN530" i="1"/>
  <c r="AO530" i="1" s="1"/>
  <c r="AN514" i="1"/>
  <c r="AO514" i="1" s="1"/>
  <c r="AN498" i="1"/>
  <c r="AO498" i="1" s="1"/>
  <c r="AN482" i="1"/>
  <c r="AO482" i="1" s="1"/>
  <c r="AN466" i="1"/>
  <c r="AO466" i="1" s="1"/>
  <c r="AN450" i="1"/>
  <c r="AO450" i="1" s="1"/>
  <c r="AN434" i="1"/>
  <c r="AO434" i="1" s="1"/>
  <c r="AN418" i="1"/>
  <c r="AO418" i="1" s="1"/>
  <c r="AN402" i="1"/>
  <c r="AO402" i="1" s="1"/>
  <c r="AN386" i="1"/>
  <c r="AO386" i="1" s="1"/>
  <c r="AN370" i="1"/>
  <c r="AO370" i="1" s="1"/>
  <c r="AN354" i="1"/>
  <c r="AO354" i="1" s="1"/>
  <c r="AN338" i="1"/>
  <c r="AO338" i="1" s="1"/>
  <c r="AN322" i="1"/>
  <c r="AO322" i="1" s="1"/>
  <c r="AN306" i="1"/>
  <c r="AO306" i="1" s="1"/>
  <c r="AN290" i="1"/>
  <c r="AO290" i="1" s="1"/>
  <c r="AN274" i="1"/>
  <c r="AO274" i="1" s="1"/>
  <c r="AN258" i="1"/>
  <c r="AO258" i="1" s="1"/>
  <c r="AN242" i="1"/>
  <c r="AO242" i="1" s="1"/>
  <c r="AN226" i="1"/>
  <c r="AO226" i="1" s="1"/>
  <c r="AN210" i="1"/>
  <c r="AO210" i="1" s="1"/>
  <c r="AN635" i="1"/>
  <c r="AO635" i="1" s="1"/>
  <c r="AN571" i="1"/>
  <c r="AO571" i="1" s="1"/>
  <c r="AN453" i="1"/>
  <c r="AO453" i="1" s="1"/>
  <c r="AN421" i="1"/>
  <c r="AO421" i="1" s="1"/>
  <c r="AN389" i="1"/>
  <c r="AO389" i="1" s="1"/>
  <c r="AN357" i="1"/>
  <c r="AO357" i="1" s="1"/>
  <c r="AN277" i="1"/>
  <c r="AO277" i="1" s="1"/>
  <c r="AN261" i="1"/>
  <c r="AO261" i="1" s="1"/>
  <c r="AN213" i="1"/>
  <c r="AO213" i="1" s="1"/>
  <c r="AN149" i="1"/>
  <c r="AO149" i="1" s="1"/>
  <c r="AN85" i="1"/>
  <c r="AO85" i="1" s="1"/>
  <c r="AN21" i="1"/>
  <c r="AO21" i="1" s="1"/>
  <c r="AN638" i="1"/>
  <c r="AO638" i="1" s="1"/>
  <c r="AN622" i="1"/>
  <c r="AO622" i="1" s="1"/>
  <c r="AN606" i="1"/>
  <c r="AO606" i="1" s="1"/>
  <c r="AN590" i="1"/>
  <c r="AO590" i="1" s="1"/>
  <c r="AN574" i="1"/>
  <c r="AO574" i="1" s="1"/>
  <c r="AN558" i="1"/>
  <c r="AO558" i="1" s="1"/>
  <c r="AN542" i="1"/>
  <c r="AO542" i="1" s="1"/>
  <c r="AN526" i="1"/>
  <c r="AO526" i="1" s="1"/>
  <c r="AN510" i="1"/>
  <c r="AO510" i="1" s="1"/>
  <c r="AN494" i="1"/>
  <c r="AO494" i="1" s="1"/>
  <c r="AN478" i="1"/>
  <c r="AO478" i="1" s="1"/>
  <c r="AN462" i="1"/>
  <c r="AO462" i="1" s="1"/>
  <c r="AN446" i="1"/>
  <c r="AO446" i="1" s="1"/>
  <c r="AN430" i="1"/>
  <c r="AO430" i="1" s="1"/>
  <c r="AN414" i="1"/>
  <c r="AO414" i="1" s="1"/>
  <c r="AN398" i="1"/>
  <c r="AO398" i="1" s="1"/>
  <c r="AN382" i="1"/>
  <c r="AO382" i="1" s="1"/>
  <c r="AN366" i="1"/>
  <c r="AO366" i="1" s="1"/>
  <c r="AN350" i="1"/>
  <c r="AO350" i="1" s="1"/>
  <c r="AN334" i="1"/>
  <c r="AO334" i="1" s="1"/>
  <c r="AN318" i="1"/>
  <c r="AO318" i="1" s="1"/>
  <c r="AN302" i="1"/>
  <c r="AO302" i="1" s="1"/>
  <c r="AN286" i="1"/>
  <c r="AO286" i="1" s="1"/>
  <c r="AN270" i="1"/>
  <c r="AO270" i="1" s="1"/>
  <c r="AN254" i="1"/>
  <c r="AO254" i="1" s="1"/>
  <c r="AN238" i="1"/>
  <c r="AO238" i="1" s="1"/>
  <c r="AN222" i="1"/>
  <c r="AO222" i="1" s="1"/>
  <c r="AN206" i="1"/>
  <c r="AO206" i="1" s="1"/>
  <c r="AN305" i="1"/>
  <c r="AO305" i="1" s="1"/>
  <c r="AN289" i="1"/>
  <c r="AO289" i="1" s="1"/>
  <c r="AN193" i="1"/>
  <c r="AO193" i="1" s="1"/>
  <c r="AN129" i="1"/>
  <c r="AO129" i="1" s="1"/>
  <c r="AN65" i="1"/>
  <c r="AO65" i="1" s="1"/>
  <c r="AN650" i="1"/>
  <c r="AO650" i="1" s="1"/>
  <c r="AN634" i="1"/>
  <c r="AO634" i="1" s="1"/>
  <c r="AN618" i="1"/>
  <c r="AO618" i="1" s="1"/>
  <c r="AN602" i="1"/>
  <c r="AO602" i="1" s="1"/>
  <c r="AN586" i="1"/>
  <c r="AO586" i="1" s="1"/>
  <c r="AN570" i="1"/>
  <c r="AO570" i="1" s="1"/>
  <c r="AN554" i="1"/>
  <c r="AO554" i="1" s="1"/>
  <c r="AN538" i="1"/>
  <c r="AO538" i="1" s="1"/>
  <c r="AN522" i="1"/>
  <c r="AO522" i="1" s="1"/>
  <c r="AN506" i="1"/>
  <c r="AO506" i="1" s="1"/>
  <c r="AN490" i="1"/>
  <c r="AO490" i="1" s="1"/>
  <c r="AN474" i="1"/>
  <c r="AO474" i="1" s="1"/>
  <c r="AN458" i="1"/>
  <c r="AO458" i="1" s="1"/>
  <c r="AN442" i="1"/>
  <c r="AO442" i="1" s="1"/>
  <c r="AN426" i="1"/>
  <c r="AO426" i="1" s="1"/>
  <c r="AN410" i="1"/>
  <c r="AO410" i="1" s="1"/>
  <c r="AN394" i="1"/>
  <c r="AO394" i="1" s="1"/>
  <c r="AN378" i="1"/>
  <c r="AO378" i="1" s="1"/>
  <c r="AN362" i="1"/>
  <c r="AO362" i="1" s="1"/>
  <c r="AN346" i="1"/>
  <c r="AO346" i="1" s="1"/>
  <c r="AN330" i="1"/>
  <c r="AO330" i="1" s="1"/>
  <c r="AN314" i="1"/>
  <c r="AO314" i="1" s="1"/>
  <c r="AN298" i="1"/>
  <c r="AO298" i="1" s="1"/>
  <c r="AN282" i="1"/>
  <c r="AO282" i="1" s="1"/>
  <c r="AN266" i="1"/>
  <c r="AO266" i="1" s="1"/>
  <c r="AN250" i="1"/>
  <c r="AO250" i="1" s="1"/>
  <c r="AN234" i="1"/>
  <c r="AO234" i="1" s="1"/>
  <c r="AN218" i="1"/>
  <c r="AO218" i="1" s="1"/>
  <c r="AN515" i="1"/>
  <c r="AO515" i="1" s="1"/>
  <c r="AN483" i="1"/>
  <c r="AO483" i="1" s="1"/>
  <c r="AN355" i="1"/>
  <c r="AO355" i="1" s="1"/>
  <c r="C16" i="7"/>
  <c r="C17" i="7" s="1"/>
  <c r="C6" i="7"/>
  <c r="G8" i="7" s="1"/>
  <c r="AN516" i="1"/>
  <c r="AO516" i="1" s="1"/>
  <c r="AN500" i="1"/>
  <c r="AO500" i="1" s="1"/>
  <c r="AN484" i="1"/>
  <c r="AO484" i="1" s="1"/>
  <c r="AN304" i="1"/>
  <c r="AO304" i="1" s="1"/>
  <c r="AN248" i="1"/>
  <c r="AO248" i="1" s="1"/>
  <c r="AN192" i="1"/>
  <c r="AO192" i="1" s="1"/>
  <c r="AN64" i="1"/>
  <c r="AO64" i="1" s="1"/>
  <c r="AN24" i="1"/>
  <c r="AO24" i="1" s="1"/>
  <c r="AN643" i="1"/>
  <c r="AO643" i="1" s="1"/>
  <c r="AN611" i="1"/>
  <c r="AO611" i="1" s="1"/>
  <c r="AN603" i="1"/>
  <c r="AO603" i="1" s="1"/>
  <c r="AN579" i="1"/>
  <c r="AO579" i="1" s="1"/>
  <c r="AN547" i="1"/>
  <c r="AO547" i="1" s="1"/>
  <c r="AN539" i="1"/>
  <c r="AO539" i="1" s="1"/>
  <c r="AN499" i="1"/>
  <c r="AO499" i="1" s="1"/>
  <c r="AN431" i="1"/>
  <c r="AO431" i="1" s="1"/>
  <c r="AN419" i="1"/>
  <c r="AO419" i="1" s="1"/>
  <c r="AN367" i="1"/>
  <c r="AO367" i="1" s="1"/>
  <c r="AN644" i="1"/>
  <c r="AO644" i="1" s="1"/>
  <c r="AN636" i="1"/>
  <c r="AO636" i="1" s="1"/>
  <c r="AN628" i="1"/>
  <c r="AO628" i="1" s="1"/>
  <c r="AN620" i="1"/>
  <c r="AO620" i="1" s="1"/>
  <c r="AN612" i="1"/>
  <c r="AO612" i="1" s="1"/>
  <c r="AN604" i="1"/>
  <c r="AO604" i="1" s="1"/>
  <c r="AN596" i="1"/>
  <c r="AO596" i="1" s="1"/>
  <c r="AN588" i="1"/>
  <c r="AO588" i="1" s="1"/>
  <c r="AN580" i="1"/>
  <c r="AO580" i="1" s="1"/>
  <c r="AN572" i="1"/>
  <c r="AO572" i="1" s="1"/>
  <c r="AN564" i="1"/>
  <c r="AO564" i="1" s="1"/>
  <c r="AN556" i="1"/>
  <c r="AO556" i="1" s="1"/>
  <c r="AN548" i="1"/>
  <c r="AO548" i="1" s="1"/>
  <c r="AN540" i="1"/>
  <c r="AO540" i="1" s="1"/>
  <c r="AN532" i="1"/>
  <c r="AO532" i="1" s="1"/>
  <c r="AN524" i="1"/>
  <c r="AO524" i="1" s="1"/>
  <c r="AN512" i="1"/>
  <c r="AO512" i="1" s="1"/>
  <c r="AN508" i="1"/>
  <c r="AO508" i="1" s="1"/>
  <c r="AN504" i="1"/>
  <c r="AO504" i="1" s="1"/>
  <c r="AN496" i="1"/>
  <c r="AO496" i="1" s="1"/>
  <c r="AN492" i="1"/>
  <c r="AO492" i="1" s="1"/>
  <c r="AN488" i="1"/>
  <c r="AO488" i="1" s="1"/>
  <c r="AN480" i="1"/>
  <c r="AO480" i="1" s="1"/>
  <c r="AN476" i="1"/>
  <c r="AO476" i="1" s="1"/>
  <c r="AN472" i="1"/>
  <c r="AO472" i="1" s="1"/>
  <c r="AN468" i="1"/>
  <c r="AO468" i="1" s="1"/>
  <c r="AN464" i="1"/>
  <c r="AO464" i="1" s="1"/>
  <c r="AN460" i="1"/>
  <c r="AO460" i="1" s="1"/>
  <c r="AN456" i="1"/>
  <c r="AO456" i="1" s="1"/>
  <c r="AN452" i="1"/>
  <c r="AO452" i="1" s="1"/>
  <c r="AN448" i="1"/>
  <c r="AO448" i="1" s="1"/>
  <c r="AN444" i="1"/>
  <c r="AO444" i="1" s="1"/>
  <c r="AN440" i="1"/>
  <c r="AO440" i="1" s="1"/>
  <c r="AN436" i="1"/>
  <c r="AO436" i="1" s="1"/>
  <c r="AN432" i="1"/>
  <c r="AO432" i="1" s="1"/>
  <c r="AN428" i="1"/>
  <c r="AO428" i="1" s="1"/>
  <c r="AN424" i="1"/>
  <c r="AO424" i="1" s="1"/>
  <c r="AN420" i="1"/>
  <c r="AO420" i="1" s="1"/>
  <c r="AN416" i="1"/>
  <c r="AO416" i="1" s="1"/>
  <c r="AN412" i="1"/>
  <c r="AO412" i="1" s="1"/>
  <c r="AN408" i="1"/>
  <c r="AO408" i="1" s="1"/>
  <c r="AN404" i="1"/>
  <c r="AO404" i="1" s="1"/>
  <c r="AN400" i="1"/>
  <c r="AO400" i="1" s="1"/>
  <c r="AN396" i="1"/>
  <c r="AO396" i="1" s="1"/>
  <c r="AN392" i="1"/>
  <c r="AO392" i="1" s="1"/>
  <c r="AN388" i="1"/>
  <c r="AO388" i="1" s="1"/>
  <c r="AN384" i="1"/>
  <c r="AO384" i="1" s="1"/>
  <c r="AN380" i="1"/>
  <c r="AO380" i="1" s="1"/>
  <c r="AN376" i="1"/>
  <c r="AO376" i="1" s="1"/>
  <c r="AN372" i="1"/>
  <c r="AO372" i="1" s="1"/>
  <c r="AN368" i="1"/>
  <c r="AO368" i="1" s="1"/>
  <c r="AN364" i="1"/>
  <c r="AO364" i="1" s="1"/>
  <c r="AN360" i="1"/>
  <c r="AO360" i="1" s="1"/>
  <c r="AN356" i="1"/>
  <c r="AO356" i="1" s="1"/>
  <c r="AN352" i="1"/>
  <c r="AO352" i="1" s="1"/>
  <c r="AN348" i="1"/>
  <c r="AO348" i="1" s="1"/>
  <c r="AN344" i="1"/>
  <c r="AO344" i="1" s="1"/>
  <c r="AN340" i="1"/>
  <c r="AO340" i="1" s="1"/>
  <c r="AN336" i="1"/>
  <c r="AO336" i="1" s="1"/>
  <c r="AN332" i="1"/>
  <c r="AO332" i="1" s="1"/>
  <c r="AN328" i="1"/>
  <c r="AO328" i="1" s="1"/>
  <c r="AN324" i="1"/>
  <c r="AO324" i="1" s="1"/>
  <c r="AN320" i="1"/>
  <c r="AO320" i="1" s="1"/>
  <c r="AN316" i="1"/>
  <c r="AO316" i="1" s="1"/>
  <c r="AN312" i="1"/>
  <c r="AO312" i="1" s="1"/>
  <c r="AN308" i="1"/>
  <c r="AO308" i="1" s="1"/>
  <c r="AN300" i="1"/>
  <c r="AO300" i="1" s="1"/>
  <c r="AN296" i="1"/>
  <c r="AO296" i="1" s="1"/>
  <c r="AN292" i="1"/>
  <c r="AO292" i="1" s="1"/>
  <c r="AN288" i="1"/>
  <c r="AO288" i="1" s="1"/>
  <c r="AN284" i="1"/>
  <c r="AO284" i="1" s="1"/>
  <c r="AN280" i="1"/>
  <c r="AO280" i="1" s="1"/>
  <c r="AN276" i="1"/>
  <c r="AO276" i="1" s="1"/>
  <c r="AN272" i="1"/>
  <c r="AO272" i="1" s="1"/>
  <c r="AN268" i="1"/>
  <c r="AO268" i="1" s="1"/>
  <c r="AN264" i="1"/>
  <c r="AO264" i="1" s="1"/>
  <c r="AN260" i="1"/>
  <c r="AO260" i="1" s="1"/>
  <c r="AN256" i="1"/>
  <c r="AO256" i="1" s="1"/>
  <c r="AN252" i="1"/>
  <c r="AO252" i="1" s="1"/>
  <c r="AN244" i="1"/>
  <c r="AO244" i="1" s="1"/>
  <c r="AN240" i="1"/>
  <c r="AO240" i="1" s="1"/>
  <c r="AN236" i="1"/>
  <c r="AO236" i="1" s="1"/>
  <c r="AN232" i="1"/>
  <c r="AO232" i="1" s="1"/>
  <c r="AN228" i="1"/>
  <c r="AO228" i="1" s="1"/>
  <c r="AN224" i="1"/>
  <c r="AO224" i="1" s="1"/>
  <c r="AN220" i="1"/>
  <c r="AO220" i="1" s="1"/>
  <c r="AN216" i="1"/>
  <c r="AO216" i="1" s="1"/>
  <c r="AN212" i="1"/>
  <c r="AO212" i="1" s="1"/>
  <c r="AN208" i="1"/>
  <c r="AO208" i="1" s="1"/>
  <c r="AN204" i="1"/>
  <c r="AO204" i="1" s="1"/>
  <c r="AN200" i="1"/>
  <c r="AO200" i="1" s="1"/>
  <c r="AN196" i="1"/>
  <c r="AO196" i="1" s="1"/>
  <c r="AN188" i="1"/>
  <c r="AO188" i="1" s="1"/>
  <c r="AN184" i="1"/>
  <c r="AO184" i="1" s="1"/>
  <c r="AN180" i="1"/>
  <c r="AO180" i="1" s="1"/>
  <c r="AN176" i="1"/>
  <c r="AO176" i="1" s="1"/>
  <c r="AN172" i="1"/>
  <c r="AO172" i="1" s="1"/>
  <c r="AN168" i="1"/>
  <c r="AO168" i="1" s="1"/>
  <c r="AN164" i="1"/>
  <c r="AO164" i="1" s="1"/>
  <c r="AN160" i="1"/>
  <c r="AO160" i="1" s="1"/>
  <c r="AN156" i="1"/>
  <c r="AO156" i="1" s="1"/>
  <c r="AN148" i="1"/>
  <c r="AO148" i="1" s="1"/>
  <c r="AN144" i="1"/>
  <c r="AO144" i="1" s="1"/>
  <c r="AN140" i="1"/>
  <c r="AO140" i="1" s="1"/>
  <c r="AN136" i="1"/>
  <c r="AO136" i="1" s="1"/>
  <c r="AN132" i="1"/>
  <c r="AO132" i="1" s="1"/>
  <c r="AN128" i="1"/>
  <c r="AO128" i="1" s="1"/>
  <c r="AN124" i="1"/>
  <c r="AO124" i="1" s="1"/>
  <c r="AN120" i="1"/>
  <c r="AO120" i="1" s="1"/>
  <c r="AN116" i="1"/>
  <c r="AO116" i="1" s="1"/>
  <c r="AN112" i="1"/>
  <c r="AO112" i="1" s="1"/>
  <c r="AN108" i="1"/>
  <c r="AO108" i="1" s="1"/>
  <c r="AN104" i="1"/>
  <c r="AO104" i="1" s="1"/>
  <c r="AN100" i="1"/>
  <c r="AO100" i="1" s="1"/>
  <c r="AN96" i="1"/>
  <c r="AO96" i="1" s="1"/>
  <c r="AN92" i="1"/>
  <c r="AO92" i="1" s="1"/>
  <c r="AN88" i="1"/>
  <c r="AO88" i="1" s="1"/>
  <c r="AN84" i="1"/>
  <c r="AO84" i="1" s="1"/>
  <c r="AN80" i="1"/>
  <c r="AO80" i="1" s="1"/>
  <c r="AN76" i="1"/>
  <c r="AO76" i="1" s="1"/>
  <c r="AN72" i="1"/>
  <c r="AO72" i="1" s="1"/>
  <c r="AN68" i="1"/>
  <c r="AO68" i="1" s="1"/>
  <c r="AN60" i="1"/>
  <c r="AO60" i="1" s="1"/>
  <c r="AN56" i="1"/>
  <c r="AO56" i="1" s="1"/>
  <c r="AN52" i="1"/>
  <c r="AO52" i="1" s="1"/>
  <c r="AN48" i="1"/>
  <c r="AO48" i="1" s="1"/>
  <c r="AN44" i="1"/>
  <c r="AO44" i="1" s="1"/>
  <c r="AN40" i="1"/>
  <c r="AO40" i="1" s="1"/>
  <c r="AN36" i="1"/>
  <c r="AO36" i="1" s="1"/>
  <c r="AN32" i="1"/>
  <c r="AO32" i="1" s="1"/>
  <c r="AN28" i="1"/>
  <c r="AO28" i="1" s="1"/>
  <c r="AN20" i="1"/>
  <c r="AO20" i="1" s="1"/>
  <c r="AN16" i="1"/>
  <c r="AO16" i="1" s="1"/>
  <c r="AN12" i="1"/>
  <c r="AO12" i="1" s="1"/>
  <c r="AN8" i="1"/>
  <c r="AO8" i="1" s="1"/>
  <c r="AN4" i="1"/>
  <c r="AO4" i="1" s="1"/>
  <c r="B7" i="3"/>
  <c r="B8" i="3"/>
  <c r="M3" i="3"/>
  <c r="AN647" i="1"/>
  <c r="AO647" i="1" s="1"/>
  <c r="AN639" i="1"/>
  <c r="AO639" i="1" s="1"/>
  <c r="AN631" i="1"/>
  <c r="AO631" i="1" s="1"/>
  <c r="AN627" i="1"/>
  <c r="AO627" i="1" s="1"/>
  <c r="AN623" i="1"/>
  <c r="AO623" i="1" s="1"/>
  <c r="AN619" i="1"/>
  <c r="AO619" i="1" s="1"/>
  <c r="AN615" i="1"/>
  <c r="AO615" i="1" s="1"/>
  <c r="AN607" i="1"/>
  <c r="AO607" i="1" s="1"/>
  <c r="AN599" i="1"/>
  <c r="AO599" i="1" s="1"/>
  <c r="AN595" i="1"/>
  <c r="AO595" i="1" s="1"/>
  <c r="AN591" i="1"/>
  <c r="AO591" i="1" s="1"/>
  <c r="AN587" i="1"/>
  <c r="AO587" i="1" s="1"/>
  <c r="AN583" i="1"/>
  <c r="AO583" i="1" s="1"/>
  <c r="AN575" i="1"/>
  <c r="AO575" i="1" s="1"/>
  <c r="AN567" i="1"/>
  <c r="AO567" i="1" s="1"/>
  <c r="AN563" i="1"/>
  <c r="AO563" i="1" s="1"/>
  <c r="AN559" i="1"/>
  <c r="AO559" i="1" s="1"/>
  <c r="AN555" i="1"/>
  <c r="AO555" i="1" s="1"/>
  <c r="AN551" i="1"/>
  <c r="AO551" i="1" s="1"/>
  <c r="AN543" i="1"/>
  <c r="AO543" i="1" s="1"/>
  <c r="AN535" i="1"/>
  <c r="AO535" i="1" s="1"/>
  <c r="AN531" i="1"/>
  <c r="AO531" i="1" s="1"/>
  <c r="AN527" i="1"/>
  <c r="AO527" i="1" s="1"/>
  <c r="AN523" i="1"/>
  <c r="AO523" i="1" s="1"/>
  <c r="AN519" i="1"/>
  <c r="AO519" i="1" s="1"/>
  <c r="AN511" i="1"/>
  <c r="AO511" i="1" s="1"/>
  <c r="AN507" i="1"/>
  <c r="AO507" i="1" s="1"/>
  <c r="AN503" i="1"/>
  <c r="AO503" i="1" s="1"/>
  <c r="AN495" i="1"/>
  <c r="AO495" i="1" s="1"/>
  <c r="AN491" i="1"/>
  <c r="AO491" i="1" s="1"/>
  <c r="AN487" i="1"/>
  <c r="AO487" i="1" s="1"/>
  <c r="AN479" i="1"/>
  <c r="AO479" i="1" s="1"/>
  <c r="AN467" i="1"/>
  <c r="AO467" i="1" s="1"/>
  <c r="AN463" i="1"/>
  <c r="AO463" i="1" s="1"/>
  <c r="AN451" i="1"/>
  <c r="AO451" i="1" s="1"/>
  <c r="AN447" i="1"/>
  <c r="AO447" i="1" s="1"/>
  <c r="AN435" i="1"/>
  <c r="AO435" i="1" s="1"/>
  <c r="AN415" i="1"/>
  <c r="AO415" i="1" s="1"/>
  <c r="AN403" i="1"/>
  <c r="AO403" i="1" s="1"/>
  <c r="AN399" i="1"/>
  <c r="AO399" i="1" s="1"/>
  <c r="AN387" i="1"/>
  <c r="AO387" i="1" s="1"/>
  <c r="AN383" i="1"/>
  <c r="AO383" i="1" s="1"/>
  <c r="AN371" i="1"/>
  <c r="AO371" i="1" s="1"/>
  <c r="AN351" i="1"/>
  <c r="AO351" i="1" s="1"/>
  <c r="AN649" i="1"/>
  <c r="AO649" i="1" s="1"/>
  <c r="AN645" i="1"/>
  <c r="AO645" i="1" s="1"/>
  <c r="AN637" i="1"/>
  <c r="AO637" i="1" s="1"/>
  <c r="AN629" i="1"/>
  <c r="AO629" i="1" s="1"/>
  <c r="AN625" i="1"/>
  <c r="AO625" i="1" s="1"/>
  <c r="AN617" i="1"/>
  <c r="AO617" i="1" s="1"/>
  <c r="AN613" i="1"/>
  <c r="AO613" i="1" s="1"/>
  <c r="AN605" i="1"/>
  <c r="AO605" i="1" s="1"/>
  <c r="AN597" i="1"/>
  <c r="AO597" i="1" s="1"/>
  <c r="AN593" i="1"/>
  <c r="AO593" i="1" s="1"/>
  <c r="AN585" i="1"/>
  <c r="AO585" i="1" s="1"/>
  <c r="AN581" i="1"/>
  <c r="AO581" i="1" s="1"/>
  <c r="AN573" i="1"/>
  <c r="AO573" i="1" s="1"/>
  <c r="AN565" i="1"/>
  <c r="AO565" i="1" s="1"/>
  <c r="AN557" i="1"/>
  <c r="AO557" i="1" s="1"/>
  <c r="AN549" i="1"/>
  <c r="AO549" i="1" s="1"/>
  <c r="AN541" i="1"/>
  <c r="AO541" i="1" s="1"/>
  <c r="AN537" i="1"/>
  <c r="AO537" i="1" s="1"/>
  <c r="AN529" i="1"/>
  <c r="AO529" i="1" s="1"/>
  <c r="AN525" i="1"/>
  <c r="AO525" i="1" s="1"/>
  <c r="AN513" i="1"/>
  <c r="AO513" i="1" s="1"/>
  <c r="AN505" i="1"/>
  <c r="AO505" i="1" s="1"/>
  <c r="AN501" i="1"/>
  <c r="AO501" i="1" s="1"/>
  <c r="AN493" i="1"/>
  <c r="AO493" i="1" s="1"/>
  <c r="AN485" i="1"/>
  <c r="AO485" i="1" s="1"/>
  <c r="AN477" i="1"/>
  <c r="AO477" i="1" s="1"/>
  <c r="AN465" i="1"/>
  <c r="AO465" i="1" s="1"/>
  <c r="AN449" i="1"/>
  <c r="AO449" i="1" s="1"/>
  <c r="AN445" i="1"/>
  <c r="AO445" i="1" s="1"/>
  <c r="AN429" i="1"/>
  <c r="AO429" i="1" s="1"/>
  <c r="AN413" i="1"/>
  <c r="AO413" i="1" s="1"/>
  <c r="AN397" i="1"/>
  <c r="AO397" i="1" s="1"/>
  <c r="AN381" i="1"/>
  <c r="AO381" i="1" s="1"/>
  <c r="AN365" i="1"/>
  <c r="AO365" i="1" s="1"/>
  <c r="AN353" i="1"/>
  <c r="AO353" i="1" s="1"/>
  <c r="AN337" i="1"/>
  <c r="AO337" i="1" s="1"/>
  <c r="AN309" i="1"/>
  <c r="AO309" i="1" s="1"/>
  <c r="AN293" i="1"/>
  <c r="AO293" i="1" s="1"/>
  <c r="AN273" i="1"/>
  <c r="AO273" i="1" s="1"/>
  <c r="AN257" i="1"/>
  <c r="AO257" i="1" s="1"/>
  <c r="AN237" i="1"/>
  <c r="AO237" i="1" s="1"/>
  <c r="AN229" i="1"/>
  <c r="AO229" i="1" s="1"/>
  <c r="AN217" i="1"/>
  <c r="AO217" i="1" s="1"/>
  <c r="AN197" i="1"/>
  <c r="AO197" i="1" s="1"/>
  <c r="AN189" i="1"/>
  <c r="AO189" i="1" s="1"/>
  <c r="AN177" i="1"/>
  <c r="AO177" i="1" s="1"/>
  <c r="AN157" i="1"/>
  <c r="AO157" i="1" s="1"/>
  <c r="AN153" i="1"/>
  <c r="AO153" i="1" s="1"/>
  <c r="AN133" i="1"/>
  <c r="AO133" i="1" s="1"/>
  <c r="AN125" i="1"/>
  <c r="AO125" i="1" s="1"/>
  <c r="AN113" i="1"/>
  <c r="AO113" i="1" s="1"/>
  <c r="AN101" i="1"/>
  <c r="AO101" i="1" s="1"/>
  <c r="AN89" i="1"/>
  <c r="AO89" i="1" s="1"/>
  <c r="AN81" i="1"/>
  <c r="AO81" i="1" s="1"/>
  <c r="AN61" i="1"/>
  <c r="AO61" i="1" s="1"/>
  <c r="AN57" i="1"/>
  <c r="AO57" i="1" s="1"/>
  <c r="AN37" i="1"/>
  <c r="AO37" i="1" s="1"/>
  <c r="AN25" i="1"/>
  <c r="AO25" i="1" s="1"/>
  <c r="AN17" i="1"/>
  <c r="AO17" i="1" s="1"/>
  <c r="AN640" i="1"/>
  <c r="AO640" i="1" s="1"/>
  <c r="AN632" i="1"/>
  <c r="AO632" i="1" s="1"/>
  <c r="AN616" i="1"/>
  <c r="AO616" i="1" s="1"/>
  <c r="AN600" i="1"/>
  <c r="AO600" i="1" s="1"/>
  <c r="AN584" i="1"/>
  <c r="AO584" i="1" s="1"/>
  <c r="AN576" i="1"/>
  <c r="AO576" i="1" s="1"/>
  <c r="AN560" i="1"/>
  <c r="AO560" i="1" s="1"/>
  <c r="AN552" i="1"/>
  <c r="AO552" i="1" s="1"/>
  <c r="AN536" i="1"/>
  <c r="AO536" i="1" s="1"/>
  <c r="AN520" i="1"/>
  <c r="AO520" i="1" s="1"/>
  <c r="AN457" i="1"/>
  <c r="AO457" i="1" s="1"/>
  <c r="AN425" i="1"/>
  <c r="AO425" i="1" s="1"/>
  <c r="AN393" i="1"/>
  <c r="AO393" i="1" s="1"/>
  <c r="AN361" i="1"/>
  <c r="AO361" i="1" s="1"/>
  <c r="AN341" i="1"/>
  <c r="AO341" i="1" s="1"/>
  <c r="AN269" i="1"/>
  <c r="AO269" i="1" s="1"/>
  <c r="AN241" i="1"/>
  <c r="AO241" i="1" s="1"/>
  <c r="AN205" i="1"/>
  <c r="AO205" i="1" s="1"/>
  <c r="AN181" i="1"/>
  <c r="AO181" i="1" s="1"/>
  <c r="AN161" i="1"/>
  <c r="AO161" i="1" s="1"/>
  <c r="AN141" i="1"/>
  <c r="AO141" i="1" s="1"/>
  <c r="AN117" i="1"/>
  <c r="AO117" i="1" s="1"/>
  <c r="AN97" i="1"/>
  <c r="AO97" i="1" s="1"/>
  <c r="AN77" i="1"/>
  <c r="AO77" i="1" s="1"/>
  <c r="AN73" i="1"/>
  <c r="AO73" i="1" s="1"/>
  <c r="AN53" i="1"/>
  <c r="AO53" i="1" s="1"/>
  <c r="AN33" i="1"/>
  <c r="AO33" i="1" s="1"/>
  <c r="AN13" i="1"/>
  <c r="AO13" i="1" s="1"/>
  <c r="AN9" i="1"/>
  <c r="AO9" i="1" s="1"/>
  <c r="AN641" i="1"/>
  <c r="AO641" i="1" s="1"/>
  <c r="AN633" i="1"/>
  <c r="AO633" i="1" s="1"/>
  <c r="AN621" i="1"/>
  <c r="AO621" i="1" s="1"/>
  <c r="AN609" i="1"/>
  <c r="AO609" i="1" s="1"/>
  <c r="AN601" i="1"/>
  <c r="AO601" i="1" s="1"/>
  <c r="AN589" i="1"/>
  <c r="AO589" i="1" s="1"/>
  <c r="AN577" i="1"/>
  <c r="AO577" i="1" s="1"/>
  <c r="AN569" i="1"/>
  <c r="AO569" i="1" s="1"/>
  <c r="AN561" i="1"/>
  <c r="AO561" i="1" s="1"/>
  <c r="AN553" i="1"/>
  <c r="AO553" i="1" s="1"/>
  <c r="AN545" i="1"/>
  <c r="AO545" i="1" s="1"/>
  <c r="AN533" i="1"/>
  <c r="AO533" i="1" s="1"/>
  <c r="AN521" i="1"/>
  <c r="AO521" i="1" s="1"/>
  <c r="AN517" i="1"/>
  <c r="AO517" i="1" s="1"/>
  <c r="AN509" i="1"/>
  <c r="AO509" i="1" s="1"/>
  <c r="AN497" i="1"/>
  <c r="AO497" i="1" s="1"/>
  <c r="AN489" i="1"/>
  <c r="AO489" i="1" s="1"/>
  <c r="AN481" i="1"/>
  <c r="AO481" i="1" s="1"/>
  <c r="AN461" i="1"/>
  <c r="AO461" i="1" s="1"/>
  <c r="AN433" i="1"/>
  <c r="AO433" i="1" s="1"/>
  <c r="AN417" i="1"/>
  <c r="AO417" i="1" s="1"/>
  <c r="AN401" i="1"/>
  <c r="AO401" i="1" s="1"/>
  <c r="AN385" i="1"/>
  <c r="AO385" i="1" s="1"/>
  <c r="AN369" i="1"/>
  <c r="AO369" i="1" s="1"/>
  <c r="AN349" i="1"/>
  <c r="AO349" i="1" s="1"/>
  <c r="AN321" i="1"/>
  <c r="AO321" i="1" s="1"/>
  <c r="AN301" i="1"/>
  <c r="AO301" i="1" s="1"/>
  <c r="AN285" i="1"/>
  <c r="AO285" i="1" s="1"/>
  <c r="AN245" i="1"/>
  <c r="AO245" i="1" s="1"/>
  <c r="AN221" i="1"/>
  <c r="AO221" i="1" s="1"/>
  <c r="AN209" i="1"/>
  <c r="AO209" i="1" s="1"/>
  <c r="AN185" i="1"/>
  <c r="AO185" i="1" s="1"/>
  <c r="AN165" i="1"/>
  <c r="AO165" i="1" s="1"/>
  <c r="AN145" i="1"/>
  <c r="AO145" i="1" s="1"/>
  <c r="AN121" i="1"/>
  <c r="AO121" i="1" s="1"/>
  <c r="AN93" i="1"/>
  <c r="AO93" i="1" s="1"/>
  <c r="AN69" i="1"/>
  <c r="AO69" i="1" s="1"/>
  <c r="AN49" i="1"/>
  <c r="AO49" i="1" s="1"/>
  <c r="AN29" i="1"/>
  <c r="AO29" i="1" s="1"/>
  <c r="AN5" i="1"/>
  <c r="AO5" i="1" s="1"/>
  <c r="AN648" i="1"/>
  <c r="AO648" i="1" s="1"/>
  <c r="AN624" i="1"/>
  <c r="AO624" i="1" s="1"/>
  <c r="AN608" i="1"/>
  <c r="AO608" i="1" s="1"/>
  <c r="AN592" i="1"/>
  <c r="AO592" i="1" s="1"/>
  <c r="AN568" i="1"/>
  <c r="AO568" i="1" s="1"/>
  <c r="AN544" i="1"/>
  <c r="AO544" i="1" s="1"/>
  <c r="AN528" i="1"/>
  <c r="AO528" i="1" s="1"/>
  <c r="AN469" i="1"/>
  <c r="AO469" i="1" s="1"/>
  <c r="AN437" i="1"/>
  <c r="AO437" i="1" s="1"/>
  <c r="AN405" i="1"/>
  <c r="AO405" i="1" s="1"/>
  <c r="AN373" i="1"/>
  <c r="AO373" i="1" s="1"/>
  <c r="AN325" i="1"/>
  <c r="AO325" i="1" s="1"/>
  <c r="AN253" i="1"/>
  <c r="AO253" i="1" s="1"/>
  <c r="AN225" i="1"/>
  <c r="AO225" i="1" s="1"/>
  <c r="AN201" i="1"/>
  <c r="AO201" i="1" s="1"/>
  <c r="AN137" i="1"/>
  <c r="AO137" i="1" s="1"/>
  <c r="AN475" i="1"/>
  <c r="AO475" i="1" s="1"/>
  <c r="AN471" i="1"/>
  <c r="AO471" i="1" s="1"/>
  <c r="AN459" i="1"/>
  <c r="AO459" i="1" s="1"/>
  <c r="AN455" i="1"/>
  <c r="AO455" i="1" s="1"/>
  <c r="AN443" i="1"/>
  <c r="AO443" i="1" s="1"/>
  <c r="AN439" i="1"/>
  <c r="AO439" i="1" s="1"/>
  <c r="AN427" i="1"/>
  <c r="AO427" i="1" s="1"/>
  <c r="AN423" i="1"/>
  <c r="AO423" i="1" s="1"/>
  <c r="AN411" i="1"/>
  <c r="AO411" i="1" s="1"/>
  <c r="AN407" i="1"/>
  <c r="AO407" i="1" s="1"/>
  <c r="AN395" i="1"/>
  <c r="AO395" i="1" s="1"/>
  <c r="AN391" i="1"/>
  <c r="AO391" i="1" s="1"/>
  <c r="AN379" i="1"/>
  <c r="AO379" i="1" s="1"/>
  <c r="AN375" i="1"/>
  <c r="AO375" i="1" s="1"/>
  <c r="AN363" i="1"/>
  <c r="AO363" i="1" s="1"/>
  <c r="AN359" i="1"/>
  <c r="AO359" i="1" s="1"/>
  <c r="AN347" i="1"/>
  <c r="AO347" i="1" s="1"/>
  <c r="AN343" i="1"/>
  <c r="AO343" i="1" s="1"/>
  <c r="AN339" i="1"/>
  <c r="AO339" i="1" s="1"/>
  <c r="AN335" i="1"/>
  <c r="AO335" i="1" s="1"/>
  <c r="AN331" i="1"/>
  <c r="AO331" i="1" s="1"/>
  <c r="AN327" i="1"/>
  <c r="AO327" i="1" s="1"/>
  <c r="AN323" i="1"/>
  <c r="AO323" i="1" s="1"/>
  <c r="AN319" i="1"/>
  <c r="AO319" i="1" s="1"/>
  <c r="AN315" i="1"/>
  <c r="AO315" i="1" s="1"/>
  <c r="AN311" i="1"/>
  <c r="AO311" i="1" s="1"/>
  <c r="AN307" i="1"/>
  <c r="AO307" i="1" s="1"/>
  <c r="AN303" i="1"/>
  <c r="AO303" i="1" s="1"/>
  <c r="AN299" i="1"/>
  <c r="AO299" i="1" s="1"/>
  <c r="AN295" i="1"/>
  <c r="AO295" i="1" s="1"/>
  <c r="AN291" i="1"/>
  <c r="AO291" i="1" s="1"/>
  <c r="AN287" i="1"/>
  <c r="AO287" i="1" s="1"/>
  <c r="AN283" i="1"/>
  <c r="AO283" i="1" s="1"/>
  <c r="AN279" i="1"/>
  <c r="AO279" i="1" s="1"/>
  <c r="AN275" i="1"/>
  <c r="AO275" i="1" s="1"/>
  <c r="AN271" i="1"/>
  <c r="AO271" i="1" s="1"/>
  <c r="AN267" i="1"/>
  <c r="AO267" i="1" s="1"/>
  <c r="AN263" i="1"/>
  <c r="AO263" i="1" s="1"/>
  <c r="AN259" i="1"/>
  <c r="AO259" i="1" s="1"/>
  <c r="AN255" i="1"/>
  <c r="AO255" i="1" s="1"/>
  <c r="AN251" i="1"/>
  <c r="AO251" i="1" s="1"/>
  <c r="AN247" i="1"/>
  <c r="AO247" i="1" s="1"/>
  <c r="AN243" i="1"/>
  <c r="AO243" i="1" s="1"/>
  <c r="AN239" i="1"/>
  <c r="AO239" i="1" s="1"/>
  <c r="AN235" i="1"/>
  <c r="AO235" i="1" s="1"/>
  <c r="AN231" i="1"/>
  <c r="AO231" i="1" s="1"/>
  <c r="AN227" i="1"/>
  <c r="AO227" i="1" s="1"/>
  <c r="AN223" i="1"/>
  <c r="AO223" i="1" s="1"/>
  <c r="AN219" i="1"/>
  <c r="AO219" i="1" s="1"/>
  <c r="AN215" i="1"/>
  <c r="AO215" i="1" s="1"/>
  <c r="AN211" i="1"/>
  <c r="AO211" i="1" s="1"/>
  <c r="AN207" i="1"/>
  <c r="AO207" i="1" s="1"/>
  <c r="AN203" i="1"/>
  <c r="AO203" i="1" s="1"/>
  <c r="AN199" i="1"/>
  <c r="AO199" i="1" s="1"/>
  <c r="AN195" i="1"/>
  <c r="AO195" i="1" s="1"/>
  <c r="AN191" i="1"/>
  <c r="AO191" i="1" s="1"/>
  <c r="AN187" i="1"/>
  <c r="AO187" i="1" s="1"/>
  <c r="AN183" i="1"/>
  <c r="AO183" i="1" s="1"/>
  <c r="AN179" i="1"/>
  <c r="AO179" i="1" s="1"/>
  <c r="AN175" i="1"/>
  <c r="AO175" i="1" s="1"/>
  <c r="AN171" i="1"/>
  <c r="AO171" i="1" s="1"/>
  <c r="AN167" i="1"/>
  <c r="AO167" i="1" s="1"/>
  <c r="AN163" i="1"/>
  <c r="AO163" i="1" s="1"/>
  <c r="AN159" i="1"/>
  <c r="AO159" i="1" s="1"/>
  <c r="AN155" i="1"/>
  <c r="AO155" i="1" s="1"/>
  <c r="AN151" i="1"/>
  <c r="AO151" i="1" s="1"/>
  <c r="AN147" i="1"/>
  <c r="AO147" i="1" s="1"/>
  <c r="AN143" i="1"/>
  <c r="AO143" i="1" s="1"/>
  <c r="AN139" i="1"/>
  <c r="AO139" i="1" s="1"/>
  <c r="AN135" i="1"/>
  <c r="AO135" i="1" s="1"/>
  <c r="AN131" i="1"/>
  <c r="AO131" i="1" s="1"/>
  <c r="AN127" i="1"/>
  <c r="AO127" i="1" s="1"/>
  <c r="AN123" i="1"/>
  <c r="AO123" i="1" s="1"/>
  <c r="AN119" i="1"/>
  <c r="AO119" i="1" s="1"/>
  <c r="AN115" i="1"/>
  <c r="AO115" i="1" s="1"/>
  <c r="AN111" i="1"/>
  <c r="AO111" i="1" s="1"/>
  <c r="AN107" i="1"/>
  <c r="AO107" i="1" s="1"/>
  <c r="AN103" i="1"/>
  <c r="AO103" i="1" s="1"/>
  <c r="AN99" i="1"/>
  <c r="AO99" i="1" s="1"/>
  <c r="AN95" i="1"/>
  <c r="AO95" i="1" s="1"/>
  <c r="AN91" i="1"/>
  <c r="AO91" i="1" s="1"/>
  <c r="AN87" i="1"/>
  <c r="AO87" i="1" s="1"/>
  <c r="AN83" i="1"/>
  <c r="AO83" i="1" s="1"/>
  <c r="AN79" i="1"/>
  <c r="AO79" i="1" s="1"/>
  <c r="AN75" i="1"/>
  <c r="AO75" i="1" s="1"/>
  <c r="AN71" i="1"/>
  <c r="AO71" i="1" s="1"/>
  <c r="AN67" i="1"/>
  <c r="AO67" i="1" s="1"/>
  <c r="AN63" i="1"/>
  <c r="AO63" i="1" s="1"/>
  <c r="AN59" i="1"/>
  <c r="AO59" i="1" s="1"/>
  <c r="AN55" i="1"/>
  <c r="AO55" i="1" s="1"/>
  <c r="AN51" i="1"/>
  <c r="AO51" i="1" s="1"/>
  <c r="AN47" i="1"/>
  <c r="AO47" i="1" s="1"/>
  <c r="AN43" i="1"/>
  <c r="AO43" i="1" s="1"/>
  <c r="AN39" i="1"/>
  <c r="AO39" i="1" s="1"/>
  <c r="AN35" i="1"/>
  <c r="AO35" i="1" s="1"/>
  <c r="AN31" i="1"/>
  <c r="AO31" i="1" s="1"/>
  <c r="AN27" i="1"/>
  <c r="AO27" i="1" s="1"/>
  <c r="AN23" i="1"/>
  <c r="AO23" i="1" s="1"/>
  <c r="AN19" i="1"/>
  <c r="AO19" i="1" s="1"/>
  <c r="AN15" i="1"/>
  <c r="AO15" i="1" s="1"/>
  <c r="AN11" i="1"/>
  <c r="AO11" i="1" s="1"/>
  <c r="AN7" i="1"/>
  <c r="AO7" i="1" s="1"/>
  <c r="AN3" i="1"/>
  <c r="AO3" i="1" s="1"/>
  <c r="AN202" i="1"/>
  <c r="AO202" i="1" s="1"/>
  <c r="AN198" i="1"/>
  <c r="AO198" i="1" s="1"/>
  <c r="AN194" i="1"/>
  <c r="AO194" i="1" s="1"/>
  <c r="AN190" i="1"/>
  <c r="AO190" i="1" s="1"/>
  <c r="AN186" i="1"/>
  <c r="AO186" i="1" s="1"/>
  <c r="AN182" i="1"/>
  <c r="AO182" i="1" s="1"/>
  <c r="AN178" i="1"/>
  <c r="AO178" i="1" s="1"/>
  <c r="AN174" i="1"/>
  <c r="AO174" i="1" s="1"/>
  <c r="AN170" i="1"/>
  <c r="AO170" i="1" s="1"/>
  <c r="AN166" i="1"/>
  <c r="AO166" i="1" s="1"/>
  <c r="AN162" i="1"/>
  <c r="AO162" i="1" s="1"/>
  <c r="AN158" i="1"/>
  <c r="AO158" i="1" s="1"/>
  <c r="AN154" i="1"/>
  <c r="AO154" i="1" s="1"/>
  <c r="AN150" i="1"/>
  <c r="AO150" i="1" s="1"/>
  <c r="AN146" i="1"/>
  <c r="AO146" i="1" s="1"/>
  <c r="AN142" i="1"/>
  <c r="AO142" i="1" s="1"/>
  <c r="AN138" i="1"/>
  <c r="AO138" i="1" s="1"/>
  <c r="AN134" i="1"/>
  <c r="AO134" i="1" s="1"/>
  <c r="AN130" i="1"/>
  <c r="AO130" i="1" s="1"/>
  <c r="AN126" i="1"/>
  <c r="AO126" i="1" s="1"/>
  <c r="AN122" i="1"/>
  <c r="AO122" i="1" s="1"/>
  <c r="AN118" i="1"/>
  <c r="AO118" i="1" s="1"/>
  <c r="AN114" i="1"/>
  <c r="AO114" i="1" s="1"/>
  <c r="AN110" i="1"/>
  <c r="AO110" i="1" s="1"/>
  <c r="AN106" i="1"/>
  <c r="AO106" i="1" s="1"/>
  <c r="AN102" i="1"/>
  <c r="AO102" i="1" s="1"/>
  <c r="AN98" i="1"/>
  <c r="AO98" i="1" s="1"/>
  <c r="AN94" i="1"/>
  <c r="AO94" i="1" s="1"/>
  <c r="AN90" i="1"/>
  <c r="AO90" i="1" s="1"/>
  <c r="AN86" i="1"/>
  <c r="AO86" i="1" s="1"/>
  <c r="AN82" i="1"/>
  <c r="AO82" i="1" s="1"/>
  <c r="AN78" i="1"/>
  <c r="AO78" i="1" s="1"/>
  <c r="AN74" i="1"/>
  <c r="AO74" i="1" s="1"/>
  <c r="AN70" i="1"/>
  <c r="AO70" i="1" s="1"/>
  <c r="AN66" i="1"/>
  <c r="AO66" i="1" s="1"/>
  <c r="AN62" i="1"/>
  <c r="AO62" i="1" s="1"/>
  <c r="AN58" i="1"/>
  <c r="AO58" i="1" s="1"/>
  <c r="AN54" i="1"/>
  <c r="AO54" i="1" s="1"/>
  <c r="AN50" i="1"/>
  <c r="AO50" i="1" s="1"/>
  <c r="AN46" i="1"/>
  <c r="AO46" i="1" s="1"/>
  <c r="AN42" i="1"/>
  <c r="AO42" i="1" s="1"/>
  <c r="AN38" i="1"/>
  <c r="AO38" i="1" s="1"/>
  <c r="AN34" i="1"/>
  <c r="AO34" i="1" s="1"/>
  <c r="AN30" i="1"/>
  <c r="AO30" i="1" s="1"/>
  <c r="AN26" i="1"/>
  <c r="AO26" i="1" s="1"/>
  <c r="AN22" i="1"/>
  <c r="AO22" i="1" s="1"/>
  <c r="AN18" i="1"/>
  <c r="AO18" i="1" s="1"/>
  <c r="AN14" i="1"/>
  <c r="AO14" i="1" s="1"/>
  <c r="AN10" i="1"/>
  <c r="AO10" i="1" s="1"/>
  <c r="AN6" i="1"/>
  <c r="AO6" i="1" s="1"/>
  <c r="AN2" i="1"/>
  <c r="AO2" i="1" s="1"/>
  <c r="AN329" i="1"/>
  <c r="AO329" i="1" s="1"/>
  <c r="AN313" i="1"/>
  <c r="AO313" i="1" s="1"/>
  <c r="AN297" i="1"/>
  <c r="AO297" i="1" s="1"/>
  <c r="AN281" i="1"/>
  <c r="AO281" i="1" s="1"/>
  <c r="AN265" i="1"/>
  <c r="AO265" i="1" s="1"/>
  <c r="AN249" i="1"/>
  <c r="AO249" i="1" s="1"/>
  <c r="AN233" i="1"/>
  <c r="AO233" i="1" s="1"/>
  <c r="C12" i="7" l="1"/>
  <c r="C14" i="7" s="1"/>
  <c r="M10" i="5"/>
  <c r="M6" i="5"/>
</calcChain>
</file>

<file path=xl/sharedStrings.xml><?xml version="1.0" encoding="utf-8"?>
<sst xmlns="http://schemas.openxmlformats.org/spreadsheetml/2006/main" count="11148" uniqueCount="129">
  <si>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</si>
  <si>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</si>
  <si>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</si>
  <si>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</si>
  <si>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</si>
  <si>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</si>
  <si>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</si>
  <si>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</si>
  <si>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</si>
  <si>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</si>
  <si>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</si>
  <si>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</si>
  <si>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</si>
  <si>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</si>
  <si>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</si>
  <si>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</si>
  <si>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</si>
  <si>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</si>
  <si>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</si>
  <si>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</si>
  <si>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</si>
  <si>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</si>
  <si>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</si>
  <si>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</si>
  <si>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</si>
  <si>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</si>
  <si>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</si>
  <si>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</si>
  <si>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</si>
  <si>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</si>
  <si>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</si>
  <si>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</si>
  <si>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</si>
  <si>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</si>
  <si>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</si>
  <si>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</si>
  <si>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</si>
  <si>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</si>
  <si>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</si>
  <si>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</si>
  <si>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</si>
  <si>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</si>
  <si>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</si>
  <si>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</si>
  <si>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</si>
  <si>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</si>
  <si>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</si>
  <si>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</si>
  <si>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</si>
  <si>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</si>
  <si>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</si>
  <si>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</si>
  <si>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</si>
  <si>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</si>
  <si>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Result</t>
  </si>
  <si>
    <t>GradeDrop</t>
  </si>
  <si>
    <t>FailureScore</t>
  </si>
  <si>
    <t>AbsenceScore</t>
  </si>
  <si>
    <t>StudyRisk</t>
  </si>
  <si>
    <t>TrendRisk</t>
  </si>
  <si>
    <t>RiskIndex</t>
  </si>
  <si>
    <t>RiskCategory</t>
  </si>
  <si>
    <t>Total Students</t>
  </si>
  <si>
    <t>Average Final Grade</t>
  </si>
  <si>
    <t>Fail Rate</t>
  </si>
  <si>
    <t>Count</t>
  </si>
  <si>
    <t>Pass</t>
  </si>
  <si>
    <t>Fail</t>
  </si>
  <si>
    <t>Exam</t>
  </si>
  <si>
    <t>Average</t>
  </si>
  <si>
    <t>Grade Range</t>
  </si>
  <si>
    <t>0 to 5</t>
  </si>
  <si>
    <t>6 to 9</t>
  </si>
  <si>
    <t>10 to 14</t>
  </si>
  <si>
    <t>15 to 20</t>
  </si>
  <si>
    <t xml:space="preserve">Factor </t>
  </si>
  <si>
    <t>Correlation with G3</t>
  </si>
  <si>
    <t>Absences</t>
  </si>
  <si>
    <t>Study Time</t>
  </si>
  <si>
    <t>Failures</t>
  </si>
  <si>
    <t>RISK FACTOR ANALYSIS DASHBOARD</t>
  </si>
  <si>
    <t>Risk Index=40% Past Failures + 30% Absences + 20% Study Time Risk + 10% Grade Trend Drop</t>
  </si>
  <si>
    <t>Row Labels</t>
  </si>
  <si>
    <t>High</t>
  </si>
  <si>
    <t>Low</t>
  </si>
  <si>
    <t>Medium</t>
  </si>
  <si>
    <t>Grand Total</t>
  </si>
  <si>
    <t>Count of RiskCategory</t>
  </si>
  <si>
    <t>Average of RiskIndex</t>
  </si>
  <si>
    <t>High Risk Student List</t>
  </si>
  <si>
    <t>Count High Risk</t>
  </si>
  <si>
    <t>High Risk %</t>
  </si>
  <si>
    <t>Increase Study Time Level</t>
  </si>
  <si>
    <t>ProjectedGrade</t>
  </si>
  <si>
    <t>ProjectedResult</t>
  </si>
  <si>
    <t>Current Fail Rate</t>
  </si>
  <si>
    <t>Projected Fail Rate</t>
  </si>
  <si>
    <t>LIVE SIMULATOR</t>
  </si>
  <si>
    <t>Target Fail Rate(20% Reduction)</t>
  </si>
  <si>
    <t xml:space="preserve">Metric </t>
  </si>
  <si>
    <t>Rate</t>
  </si>
  <si>
    <t>Current</t>
  </si>
  <si>
    <t>Projected</t>
  </si>
  <si>
    <t>Target</t>
  </si>
  <si>
    <t>High Risk Students</t>
  </si>
  <si>
    <t>Cost per Student</t>
  </si>
  <si>
    <t>Total Mentoring Cost</t>
  </si>
  <si>
    <t>Students recovered</t>
  </si>
  <si>
    <t>Cost per student improved</t>
  </si>
  <si>
    <t>Failure Rate Comparison Chart</t>
  </si>
  <si>
    <t>Cost Analysis Section</t>
  </si>
  <si>
    <t>Ethics &amp; Safeguards Framework</t>
  </si>
  <si>
    <t>1. Labelling Transparency</t>
  </si>
  <si>
    <t xml:space="preserve">2. Student Data Privacy Policy </t>
  </si>
  <si>
    <t>• No student names are publicly displayed in dashboards.</t>
  </si>
  <si>
    <t>• Data is accessible only to authorized academic advisors.</t>
  </si>
  <si>
    <t>• Sensitive personal data is not included in risk calculation.</t>
  </si>
  <si>
    <t>• Data storage follows institutional data protection guidelines.</t>
  </si>
  <si>
    <t>• Risk predictions are used solely for academic improvement.</t>
  </si>
  <si>
    <t>3. Fairness &amp; Bias Prevention</t>
  </si>
  <si>
    <t>• Model does not use gender, family income, or personal background.</t>
  </si>
  <si>
    <t>• Risk score is derived only from academic behavior metrics.</t>
  </si>
  <si>
    <t>• Periodic review of model weights ensures fairness.</t>
  </si>
  <si>
    <t>• Students have the right to academic counseling.</t>
  </si>
  <si>
    <t>• Risk Index is based on academic indicators only.</t>
  </si>
  <si>
    <t>• Risk classification does NOT guarantee failure.</t>
  </si>
  <si>
    <t>• Students are categorized to provide support, not punishment.</t>
  </si>
  <si>
    <t>• Risk labels are dynamic and updated with new data.</t>
  </si>
  <si>
    <t>• The system supports early intervention, not discrimination.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</si>
</sst>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9">
    <xf numFmtId="0" fontId="0" fillId="0" borderId="0" xfId="0"/>
    <xf numFmtId="0" fontId="0" fillId="0" borderId="11" xfId="0" applyBorder="1"/>
    <xf numFmtId="0" fontId="0" fillId="53" borderId="11" xfId="0" applyFill="1" applyBorder="1"/>
    <xf numFmtId="0" fontId="0" fillId="37" borderId="11" xfId="0" applyFill="1" applyBorder="1"/>
    <xf numFmtId="0" fontId="0" fillId="38" borderId="11" xfId="0" applyFill="1" applyBorder="1"/>
    <xf numFmtId="0" fontId="0" fillId="36" borderId="11" xfId="0" applyFill="1" applyBorder="1"/>
    <xf numFmtId="0" fontId="0" fillId="39" borderId="11" xfId="0" applyFill="1" applyBorder="1"/>
    <xf numFmtId="0" fontId="0" fillId="35" borderId="11" xfId="0" applyFill="1" applyBorder="1"/>
    <xf numFmtId="2" fontId="0" fillId="35" borderId="11" xfId="0" applyNumberFormat="1" applyFill="1" applyBorder="1"/>
    <xf numFmtId="0" fontId="0" fillId="40" borderId="11" xfId="0" applyFill="1" applyBorder="1"/>
    <xf numFmtId="0" fontId="0" fillId="42" borderId="23" xfId="0" applyFill="1" applyBorder="1"/>
    <xf numFmtId="0" fontId="0" fillId="49" borderId="24" xfId="0" applyFill="1" applyBorder="1"/>
    <xf numFmtId="0" fontId="0" fillId="40" borderId="23" xfId="0" applyFill="1" applyBorder="1"/>
    <xf numFmtId="9" fontId="0" fillId="38" borderId="24" xfId="1" applyFont="1" applyFill="1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indent="1"/>
    </xf>
    <xf numFmtId="0" fontId="0" fillId="41" borderId="17" xfId="0" applyFill="1" applyBorder="1"/>
    <xf numFmtId="0" fontId="0" fillId="41" borderId="18" xfId="0" applyFill="1" applyBorder="1"/>
    <xf numFmtId="0" fontId="0" fillId="41" borderId="25" xfId="0" applyFill="1" applyBorder="1"/>
    <xf numFmtId="0" fontId="0" fillId="41" borderId="26" xfId="0" applyFill="1" applyBorder="1"/>
    <xf numFmtId="164" fontId="0" fillId="41" borderId="26" xfId="1" applyNumberFormat="1" applyFont="1" applyFill="1" applyBorder="1"/>
    <xf numFmtId="0" fontId="0" fillId="41" borderId="19" xfId="0" applyFill="1" applyBorder="1"/>
    <xf numFmtId="164" fontId="0" fillId="41" borderId="20" xfId="1" applyNumberFormat="1" applyFont="1" applyFill="1" applyBorder="1"/>
    <xf numFmtId="164" fontId="0" fillId="0" borderId="0" xfId="0" applyNumberFormat="1"/>
    <xf numFmtId="0" fontId="0" fillId="40" borderId="27" xfId="0" applyFill="1" applyBorder="1"/>
    <xf numFmtId="164" fontId="0" fillId="36" borderId="28" xfId="1" applyNumberFormat="1" applyFont="1" applyFill="1" applyBorder="1"/>
    <xf numFmtId="0" fontId="0" fillId="51" borderId="17" xfId="0" applyFill="1" applyBorder="1"/>
    <xf numFmtId="0" fontId="0" fillId="35" borderId="18" xfId="0" applyFill="1" applyBorder="1"/>
    <xf numFmtId="0" fontId="0" fillId="51" borderId="25" xfId="0" applyFill="1" applyBorder="1"/>
    <xf numFmtId="0" fontId="0" fillId="35" borderId="26" xfId="0" applyFill="1" applyBorder="1"/>
    <xf numFmtId="0" fontId="0" fillId="51" borderId="19" xfId="0" applyFill="1" applyBorder="1"/>
    <xf numFmtId="0" fontId="0" fillId="35" borderId="20" xfId="0" applyFill="1" applyBorder="1"/>
    <xf numFmtId="0" fontId="0" fillId="45" borderId="17" xfId="0" applyFill="1" applyBorder="1"/>
    <xf numFmtId="0" fontId="0" fillId="43" borderId="18" xfId="0" applyFill="1" applyBorder="1"/>
    <xf numFmtId="0" fontId="0" fillId="45" borderId="19" xfId="0" applyFill="1" applyBorder="1"/>
    <xf numFmtId="0" fontId="0" fillId="43" borderId="20" xfId="0" applyFill="1" applyBorder="1"/>
    <xf numFmtId="0" fontId="0" fillId="54" borderId="17" xfId="0" applyFill="1" applyBorder="1"/>
    <xf numFmtId="0" fontId="0" fillId="54" borderId="21" xfId="0" applyFill="1" applyBorder="1"/>
    <xf numFmtId="0" fontId="0" fillId="54" borderId="18" xfId="0" applyFill="1" applyBorder="1"/>
    <xf numFmtId="0" fontId="0" fillId="54" borderId="25" xfId="0" applyFill="1" applyBorder="1"/>
    <xf numFmtId="0" fontId="0" fillId="54" borderId="0" xfId="0" applyFill="1"/>
    <xf numFmtId="0" fontId="0" fillId="54" borderId="26" xfId="0" applyFill="1" applyBorder="1"/>
    <xf numFmtId="0" fontId="0" fillId="54" borderId="19" xfId="0" applyFill="1" applyBorder="1"/>
    <xf numFmtId="0" fontId="0" fillId="54" borderId="22" xfId="0" applyFill="1" applyBorder="1"/>
    <xf numFmtId="0" fontId="0" fillId="54" borderId="20" xfId="0" applyFill="1" applyBorder="1"/>
    <xf numFmtId="0" fontId="23" fillId="40" borderId="27" xfId="0" applyFont="1" applyFill="1" applyBorder="1" applyAlignment="1">
      <alignment horizontal="center"/>
    </xf>
    <xf numFmtId="0" fontId="23" fillId="40" borderId="29" xfId="0" applyFont="1" applyFill="1" applyBorder="1" applyAlignment="1">
      <alignment horizontal="center"/>
    </xf>
    <xf numFmtId="0" fontId="23" fillId="40" borderId="28" xfId="0" applyFont="1" applyFill="1" applyBorder="1" applyAlignment="1">
      <alignment horizontal="center"/>
    </xf>
    <xf numFmtId="0" fontId="18" fillId="50" borderId="12" xfId="0" applyFont="1" applyFill="1" applyBorder="1" applyAlignment="1">
      <alignment horizontal="center"/>
    </xf>
    <xf numFmtId="0" fontId="18" fillId="50" borderId="14" xfId="0" applyFont="1" applyFill="1" applyBorder="1" applyAlignment="1">
      <alignment horizontal="center"/>
    </xf>
    <xf numFmtId="9" fontId="18" fillId="39" borderId="15" xfId="1" applyFont="1" applyFill="1" applyBorder="1" applyAlignment="1">
      <alignment horizontal="center"/>
    </xf>
    <xf numFmtId="9" fontId="18" fillId="39" borderId="16" xfId="1" applyFont="1" applyFill="1" applyBorder="1" applyAlignment="1">
      <alignment horizontal="center"/>
    </xf>
    <xf numFmtId="0" fontId="18" fillId="46" borderId="12" xfId="0" applyFont="1" applyFill="1" applyBorder="1" applyAlignment="1">
      <alignment horizontal="center"/>
    </xf>
    <xf numFmtId="0" fontId="18" fillId="46" borderId="13" xfId="0" applyFont="1" applyFill="1" applyBorder="1" applyAlignment="1">
      <alignment horizontal="center"/>
    </xf>
    <xf numFmtId="0" fontId="18" fillId="46" borderId="14" xfId="0" applyFont="1" applyFill="1" applyBorder="1" applyAlignment="1">
      <alignment horizontal="center"/>
    </xf>
    <xf numFmtId="0" fontId="18" fillId="45" borderId="15" xfId="0" applyFont="1" applyFill="1" applyBorder="1" applyAlignment="1">
      <alignment horizontal="center"/>
    </xf>
    <xf numFmtId="0" fontId="18" fillId="45" borderId="10" xfId="0" applyFont="1" applyFill="1" applyBorder="1" applyAlignment="1">
      <alignment horizontal="center"/>
    </xf>
    <xf numFmtId="0" fontId="18" fillId="45" borderId="16" xfId="0" applyFont="1" applyFill="1" applyBorder="1" applyAlignment="1">
      <alignment horizontal="center"/>
    </xf>
    <xf numFmtId="0" fontId="18" fillId="48" borderId="12" xfId="0" applyFont="1" applyFill="1" applyBorder="1" applyAlignment="1">
      <alignment horizontal="center"/>
    </xf>
    <xf numFmtId="0" fontId="18" fillId="48" borderId="13" xfId="0" applyFont="1" applyFill="1" applyBorder="1" applyAlignment="1">
      <alignment horizontal="center"/>
    </xf>
    <xf numFmtId="0" fontId="18" fillId="48" borderId="14" xfId="0" applyFont="1" applyFill="1" applyBorder="1" applyAlignment="1">
      <alignment horizontal="center"/>
    </xf>
    <xf numFmtId="0" fontId="18" fillId="41" borderId="15" xfId="0" applyFont="1" applyFill="1" applyBorder="1" applyAlignment="1">
      <alignment horizontal="center"/>
    </xf>
    <xf numFmtId="0" fontId="18" fillId="41" borderId="10" xfId="0" applyFont="1" applyFill="1" applyBorder="1" applyAlignment="1">
      <alignment horizontal="center"/>
    </xf>
    <xf numFmtId="0" fontId="18" fillId="41" borderId="16" xfId="0" applyFont="1" applyFill="1" applyBorder="1" applyAlignment="1">
      <alignment horizontal="center"/>
    </xf>
    <xf numFmtId="0" fontId="22" fillId="47" borderId="17" xfId="0" applyFont="1" applyFill="1" applyBorder="1" applyAlignment="1">
      <alignment horizontal="center"/>
    </xf>
    <xf numFmtId="0" fontId="22" fillId="47" borderId="21" xfId="0" applyFont="1" applyFill="1" applyBorder="1" applyAlignment="1">
      <alignment horizontal="center"/>
    </xf>
    <xf numFmtId="0" fontId="22" fillId="47" borderId="18" xfId="0" applyFont="1" applyFill="1" applyBorder="1" applyAlignment="1">
      <alignment horizontal="center"/>
    </xf>
    <xf numFmtId="0" fontId="22" fillId="47" borderId="19" xfId="0" applyFont="1" applyFill="1" applyBorder="1" applyAlignment="1">
      <alignment horizontal="center"/>
    </xf>
    <xf numFmtId="0" fontId="22" fillId="47" borderId="22" xfId="0" applyFont="1" applyFill="1" applyBorder="1" applyAlignment="1">
      <alignment horizontal="center"/>
    </xf>
    <xf numFmtId="0" fontId="22" fillId="47" borderId="2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6" fillId="44" borderId="27" xfId="0" applyFont="1" applyFill="1" applyBorder="1" applyAlignment="1">
      <alignment horizontal="center"/>
    </xf>
    <xf numFmtId="0" fontId="16" fillId="44" borderId="28" xfId="0" applyFont="1" applyFill="1" applyBorder="1" applyAlignment="1">
      <alignment horizontal="center"/>
    </xf>
    <xf numFmtId="0" fontId="21" fillId="52" borderId="27" xfId="0" applyFont="1" applyFill="1" applyBorder="1" applyAlignment="1">
      <alignment horizontal="center"/>
    </xf>
    <xf numFmtId="0" fontId="21" fillId="52" borderId="29" xfId="0" applyFont="1" applyFill="1" applyBorder="1" applyAlignment="1">
      <alignment horizontal="center"/>
    </xf>
    <xf numFmtId="0" fontId="21" fillId="52" borderId="28" xfId="0" applyFont="1" applyFill="1" applyBorder="1" applyAlignment="1">
      <alignment horizontal="center"/>
    </xf>
    <xf numFmtId="0" fontId="20" fillId="34" borderId="27" xfId="0" applyFont="1" applyFill="1" applyBorder="1" applyAlignment="1">
      <alignment horizontal="center"/>
    </xf>
    <xf numFmtId="0" fontId="20" fillId="34" borderId="28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</a:t>
            </a:r>
            <a:r>
              <a:rPr lang="en-US" baseline="0"/>
              <a:t> vs fail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Academic_Overview!$B$6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63-4F83-B98E-CEF0DA6766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E63-4F83-B98E-CEF0DA6766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Academic_Overview!$A$7:$A$8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Academic_Overview!$B$7:$B$8</c:f>
              <c:numCache>
                <c:formatCode>General</c:formatCode>
                <c:ptCount val="2"/>
                <c:pt idx="0">
                  <c:v>549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3-4F83-B98E-CEF0DA6766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Grade Trend (G1</a:t>
            </a:r>
            <a:r>
              <a:rPr lang="en-IN" baseline="0"/>
              <a:t> to G3)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Academic_Overview!$B$11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Academic_Overview!$A$12:$A$14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Academic_Overview!$B$12:$B$14</c:f>
              <c:numCache>
                <c:formatCode>General</c:formatCode>
                <c:ptCount val="3"/>
                <c:pt idx="0">
                  <c:v>11.399075500770415</c:v>
                </c:pt>
                <c:pt idx="1">
                  <c:v>11.570107858243452</c:v>
                </c:pt>
                <c:pt idx="2">
                  <c:v>11.906009244992296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7-4F12-BF07-1807F2B7D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674495"/>
        <c:axId val="725673663"/>
      </c:lineChart>
      <c:catAx>
        <c:axId val="72567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73663"/>
        <c:crosses val="autoZero"/>
        <c:auto val="1"/>
        <c:lblAlgn val="ctr"/>
        <c:lblOffset val="100"/>
        <c:noMultiLvlLbl val="0"/>
      </c:catAx>
      <c:valAx>
        <c:axId val="72567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7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</a:t>
            </a:r>
            <a:r>
              <a:rPr lang="en-US" baseline="0"/>
              <a:t> Grade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Academic_Overview!$B$17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7A-4C6B-BE27-C390A154C3A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7A-4C6B-BE27-C390A154C3A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7A-4C6B-BE27-C390A154C3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C7A-4C6B-BE27-C390A154C3A7}"/>
              </c:ext>
            </c:extLst>
          </c:dPt>
          <c:cat>
            <c:strRef>
              <c:f>Academic_Overview!$A$18:$A$21</c:f>
              <c:strCache>
                <c:ptCount val="4"/>
                <c:pt idx="0">
                  <c:v>0 to 5</c:v>
                </c:pt>
                <c:pt idx="1">
                  <c:v>6 to 9</c:v>
                </c:pt>
                <c:pt idx="2">
                  <c:v>10 to 14</c:v>
                </c:pt>
                <c:pt idx="3">
                  <c:v>15 to 20</c:v>
                </c:pt>
              </c:strCache>
            </c:strRef>
          </c:cat>
          <c:val>
            <c:numRef>
              <c:f>Academic_Overview!$B$18:$B$21</c:f>
              <c:numCache>
                <c:formatCode>General</c:formatCode>
                <c:ptCount val="4"/>
                <c:pt idx="0">
                  <c:v>17</c:v>
                </c:pt>
                <c:pt idx="1">
                  <c:v>83</c:v>
                </c:pt>
                <c:pt idx="2">
                  <c:v>418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A-4C6B-BE27-C390A154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285695"/>
        <c:axId val="891291103"/>
      </c:barChart>
      <c:catAx>
        <c:axId val="89128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1103"/>
        <c:crosses val="autoZero"/>
        <c:auto val="1"/>
        <c:lblAlgn val="ctr"/>
        <c:lblOffset val="100"/>
        <c:noMultiLvlLbl val="0"/>
      </c:catAx>
      <c:valAx>
        <c:axId val="8912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8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Study</a:t>
            </a:r>
            <a:r>
              <a:rPr lang="en-IN" baseline="0"/>
              <a:t> Time vs Final Grade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Student_Data!$AG$1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Student_Data!$N$2:$N$650</c:f>
              <c:numCache>
                <c:formatCode>General</c:formatCode>
                <c:ptCount val="64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2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4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3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2</c:v>
                </c:pt>
                <c:pt idx="93">
                  <c:v>2</c:v>
                </c:pt>
                <c:pt idx="94">
                  <c:v>4</c:v>
                </c:pt>
                <c:pt idx="95">
                  <c:v>4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1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4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1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2</c:v>
                </c:pt>
                <c:pt idx="128">
                  <c:v>1</c:v>
                </c:pt>
                <c:pt idx="129">
                  <c:v>3</c:v>
                </c:pt>
                <c:pt idx="130">
                  <c:v>3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3</c:v>
                </c:pt>
                <c:pt idx="144">
                  <c:v>1</c:v>
                </c:pt>
                <c:pt idx="145">
                  <c:v>1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2</c:v>
                </c:pt>
                <c:pt idx="151">
                  <c:v>3</c:v>
                </c:pt>
                <c:pt idx="152">
                  <c:v>1</c:v>
                </c:pt>
                <c:pt idx="153">
                  <c:v>3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1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3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1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4</c:v>
                </c:pt>
                <c:pt idx="219">
                  <c:v>3</c:v>
                </c:pt>
                <c:pt idx="220">
                  <c:v>2</c:v>
                </c:pt>
                <c:pt idx="221">
                  <c:v>2</c:v>
                </c:pt>
                <c:pt idx="222">
                  <c:v>1</c:v>
                </c:pt>
                <c:pt idx="223">
                  <c:v>3</c:v>
                </c:pt>
                <c:pt idx="224">
                  <c:v>4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1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3</c:v>
                </c:pt>
                <c:pt idx="234">
                  <c:v>2</c:v>
                </c:pt>
                <c:pt idx="235">
                  <c:v>3</c:v>
                </c:pt>
                <c:pt idx="236">
                  <c:v>2</c:v>
                </c:pt>
                <c:pt idx="237">
                  <c:v>2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3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2</c:v>
                </c:pt>
                <c:pt idx="251">
                  <c:v>1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2</c:v>
                </c:pt>
                <c:pt idx="259">
                  <c:v>3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3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3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1</c:v>
                </c:pt>
                <c:pt idx="280">
                  <c:v>2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2</c:v>
                </c:pt>
                <c:pt idx="289">
                  <c:v>4</c:v>
                </c:pt>
                <c:pt idx="290">
                  <c:v>2</c:v>
                </c:pt>
                <c:pt idx="291">
                  <c:v>2</c:v>
                </c:pt>
                <c:pt idx="292">
                  <c:v>3</c:v>
                </c:pt>
                <c:pt idx="293">
                  <c:v>3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1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1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4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1</c:v>
                </c:pt>
                <c:pt idx="320">
                  <c:v>2</c:v>
                </c:pt>
                <c:pt idx="321">
                  <c:v>3</c:v>
                </c:pt>
                <c:pt idx="322">
                  <c:v>2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4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2</c:v>
                </c:pt>
                <c:pt idx="336">
                  <c:v>2</c:v>
                </c:pt>
                <c:pt idx="337">
                  <c:v>3</c:v>
                </c:pt>
                <c:pt idx="338">
                  <c:v>4</c:v>
                </c:pt>
                <c:pt idx="339">
                  <c:v>3</c:v>
                </c:pt>
                <c:pt idx="340">
                  <c:v>1</c:v>
                </c:pt>
                <c:pt idx="341">
                  <c:v>2</c:v>
                </c:pt>
                <c:pt idx="342">
                  <c:v>2</c:v>
                </c:pt>
                <c:pt idx="343">
                  <c:v>4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3</c:v>
                </c:pt>
                <c:pt idx="348">
                  <c:v>3</c:v>
                </c:pt>
                <c:pt idx="349">
                  <c:v>4</c:v>
                </c:pt>
                <c:pt idx="350">
                  <c:v>3</c:v>
                </c:pt>
                <c:pt idx="351">
                  <c:v>1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3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1</c:v>
                </c:pt>
                <c:pt idx="369">
                  <c:v>3</c:v>
                </c:pt>
                <c:pt idx="370">
                  <c:v>2</c:v>
                </c:pt>
                <c:pt idx="371">
                  <c:v>1</c:v>
                </c:pt>
                <c:pt idx="372">
                  <c:v>2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1</c:v>
                </c:pt>
                <c:pt idx="379">
                  <c:v>1</c:v>
                </c:pt>
                <c:pt idx="380">
                  <c:v>3</c:v>
                </c:pt>
                <c:pt idx="381">
                  <c:v>3</c:v>
                </c:pt>
                <c:pt idx="382">
                  <c:v>1</c:v>
                </c:pt>
                <c:pt idx="383">
                  <c:v>4</c:v>
                </c:pt>
                <c:pt idx="384">
                  <c:v>1</c:v>
                </c:pt>
                <c:pt idx="385">
                  <c:v>2</c:v>
                </c:pt>
                <c:pt idx="386">
                  <c:v>3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4</c:v>
                </c:pt>
                <c:pt idx="391">
                  <c:v>3</c:v>
                </c:pt>
                <c:pt idx="392">
                  <c:v>2</c:v>
                </c:pt>
                <c:pt idx="393">
                  <c:v>4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2</c:v>
                </c:pt>
                <c:pt idx="404">
                  <c:v>2</c:v>
                </c:pt>
                <c:pt idx="405">
                  <c:v>1</c:v>
                </c:pt>
                <c:pt idx="406">
                  <c:v>1</c:v>
                </c:pt>
                <c:pt idx="407">
                  <c:v>3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3</c:v>
                </c:pt>
                <c:pt idx="412">
                  <c:v>2</c:v>
                </c:pt>
                <c:pt idx="413">
                  <c:v>2</c:v>
                </c:pt>
                <c:pt idx="414">
                  <c:v>3</c:v>
                </c:pt>
                <c:pt idx="415">
                  <c:v>1</c:v>
                </c:pt>
                <c:pt idx="416">
                  <c:v>2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2</c:v>
                </c:pt>
                <c:pt idx="425">
                  <c:v>1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2</c:v>
                </c:pt>
                <c:pt idx="432">
                  <c:v>1</c:v>
                </c:pt>
                <c:pt idx="433">
                  <c:v>1</c:v>
                </c:pt>
                <c:pt idx="434">
                  <c:v>4</c:v>
                </c:pt>
                <c:pt idx="435">
                  <c:v>2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1</c:v>
                </c:pt>
                <c:pt idx="448">
                  <c:v>3</c:v>
                </c:pt>
                <c:pt idx="449">
                  <c:v>1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3</c:v>
                </c:pt>
                <c:pt idx="454">
                  <c:v>3</c:v>
                </c:pt>
                <c:pt idx="455">
                  <c:v>2</c:v>
                </c:pt>
                <c:pt idx="456">
                  <c:v>2</c:v>
                </c:pt>
                <c:pt idx="457">
                  <c:v>1</c:v>
                </c:pt>
                <c:pt idx="458">
                  <c:v>4</c:v>
                </c:pt>
                <c:pt idx="459">
                  <c:v>3</c:v>
                </c:pt>
                <c:pt idx="460">
                  <c:v>2</c:v>
                </c:pt>
                <c:pt idx="461">
                  <c:v>1</c:v>
                </c:pt>
                <c:pt idx="462">
                  <c:v>2</c:v>
                </c:pt>
                <c:pt idx="463">
                  <c:v>3</c:v>
                </c:pt>
                <c:pt idx="464">
                  <c:v>1</c:v>
                </c:pt>
                <c:pt idx="465">
                  <c:v>2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3</c:v>
                </c:pt>
                <c:pt idx="476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2</c:v>
                </c:pt>
                <c:pt idx="486">
                  <c:v>1</c:v>
                </c:pt>
                <c:pt idx="487">
                  <c:v>3</c:v>
                </c:pt>
                <c:pt idx="488">
                  <c:v>3</c:v>
                </c:pt>
                <c:pt idx="489">
                  <c:v>1</c:v>
                </c:pt>
                <c:pt idx="490">
                  <c:v>1</c:v>
                </c:pt>
                <c:pt idx="491">
                  <c:v>2</c:v>
                </c:pt>
                <c:pt idx="492">
                  <c:v>2</c:v>
                </c:pt>
                <c:pt idx="493">
                  <c:v>1</c:v>
                </c:pt>
                <c:pt idx="494">
                  <c:v>2</c:v>
                </c:pt>
                <c:pt idx="495">
                  <c:v>1</c:v>
                </c:pt>
                <c:pt idx="496">
                  <c:v>1</c:v>
                </c:pt>
                <c:pt idx="497">
                  <c:v>4</c:v>
                </c:pt>
                <c:pt idx="498">
                  <c:v>2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4</c:v>
                </c:pt>
                <c:pt idx="503">
                  <c:v>4</c:v>
                </c:pt>
                <c:pt idx="504">
                  <c:v>3</c:v>
                </c:pt>
                <c:pt idx="505">
                  <c:v>1</c:v>
                </c:pt>
                <c:pt idx="506">
                  <c:v>2</c:v>
                </c:pt>
                <c:pt idx="507">
                  <c:v>3</c:v>
                </c:pt>
                <c:pt idx="508">
                  <c:v>1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1</c:v>
                </c:pt>
                <c:pt idx="514">
                  <c:v>1</c:v>
                </c:pt>
                <c:pt idx="515">
                  <c:v>2</c:v>
                </c:pt>
                <c:pt idx="516">
                  <c:v>2</c:v>
                </c:pt>
                <c:pt idx="517">
                  <c:v>1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4</c:v>
                </c:pt>
                <c:pt idx="524">
                  <c:v>2</c:v>
                </c:pt>
                <c:pt idx="525">
                  <c:v>3</c:v>
                </c:pt>
                <c:pt idx="526">
                  <c:v>1</c:v>
                </c:pt>
                <c:pt idx="527">
                  <c:v>3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4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3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2</c:v>
                </c:pt>
                <c:pt idx="547">
                  <c:v>1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1</c:v>
                </c:pt>
                <c:pt idx="554">
                  <c:v>1</c:v>
                </c:pt>
                <c:pt idx="555">
                  <c:v>3</c:v>
                </c:pt>
                <c:pt idx="556">
                  <c:v>1</c:v>
                </c:pt>
                <c:pt idx="557">
                  <c:v>2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2</c:v>
                </c:pt>
                <c:pt idx="562">
                  <c:v>2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2</c:v>
                </c:pt>
                <c:pt idx="570">
                  <c:v>1</c:v>
                </c:pt>
                <c:pt idx="571">
                  <c:v>1</c:v>
                </c:pt>
                <c:pt idx="572">
                  <c:v>2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2</c:v>
                </c:pt>
                <c:pt idx="578">
                  <c:v>2</c:v>
                </c:pt>
                <c:pt idx="579">
                  <c:v>1</c:v>
                </c:pt>
                <c:pt idx="580">
                  <c:v>1</c:v>
                </c:pt>
                <c:pt idx="581">
                  <c:v>2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3</c:v>
                </c:pt>
                <c:pt idx="586">
                  <c:v>2</c:v>
                </c:pt>
                <c:pt idx="587">
                  <c:v>2</c:v>
                </c:pt>
                <c:pt idx="588">
                  <c:v>1</c:v>
                </c:pt>
                <c:pt idx="589">
                  <c:v>1</c:v>
                </c:pt>
                <c:pt idx="590">
                  <c:v>2</c:v>
                </c:pt>
                <c:pt idx="591">
                  <c:v>2</c:v>
                </c:pt>
                <c:pt idx="592">
                  <c:v>1</c:v>
                </c:pt>
                <c:pt idx="593">
                  <c:v>2</c:v>
                </c:pt>
                <c:pt idx="594">
                  <c:v>2</c:v>
                </c:pt>
                <c:pt idx="595">
                  <c:v>1</c:v>
                </c:pt>
                <c:pt idx="596">
                  <c:v>2</c:v>
                </c:pt>
                <c:pt idx="597">
                  <c:v>2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2</c:v>
                </c:pt>
                <c:pt idx="602">
                  <c:v>3</c:v>
                </c:pt>
                <c:pt idx="603">
                  <c:v>2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3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1</c:v>
                </c:pt>
                <c:pt idx="617">
                  <c:v>3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3</c:v>
                </c:pt>
                <c:pt idx="624">
                  <c:v>1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3</c:v>
                </c:pt>
                <c:pt idx="631">
                  <c:v>3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1</c:v>
                </c:pt>
                <c:pt idx="638">
                  <c:v>2</c:v>
                </c:pt>
                <c:pt idx="639">
                  <c:v>1</c:v>
                </c:pt>
                <c:pt idx="640">
                  <c:v>1</c:v>
                </c:pt>
                <c:pt idx="641">
                  <c:v>3</c:v>
                </c:pt>
                <c:pt idx="642">
                  <c:v>2</c:v>
                </c:pt>
                <c:pt idx="643">
                  <c:v>1</c:v>
                </c:pt>
                <c:pt idx="644">
                  <c:v>3</c:v>
                </c:pt>
                <c:pt idx="645">
                  <c:v>2</c:v>
                </c:pt>
                <c:pt idx="646">
                  <c:v>2</c:v>
                </c:pt>
                <c:pt idx="647">
                  <c:v>1</c:v>
                </c:pt>
                <c:pt idx="648">
                  <c:v>1</c:v>
                </c:pt>
              </c:numCache>
            </c:numRef>
          </c:xVal>
          <c:yVal>
            <c:numRef>
              <c:f>Student_Data!$AG$2:$AG$650</c:f>
              <c:numCache>
                <c:formatCode>General</c:formatCode>
                <c:ptCount val="649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17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12</c:v>
                </c:pt>
                <c:pt idx="20">
                  <c:v>14</c:v>
                </c:pt>
                <c:pt idx="21">
                  <c:v>12</c:v>
                </c:pt>
                <c:pt idx="22">
                  <c:v>14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12</c:v>
                </c:pt>
                <c:pt idx="27">
                  <c:v>11</c:v>
                </c:pt>
                <c:pt idx="28">
                  <c:v>13</c:v>
                </c:pt>
                <c:pt idx="29">
                  <c:v>12</c:v>
                </c:pt>
                <c:pt idx="30">
                  <c:v>11</c:v>
                </c:pt>
                <c:pt idx="31">
                  <c:v>15</c:v>
                </c:pt>
                <c:pt idx="32">
                  <c:v>15</c:v>
                </c:pt>
                <c:pt idx="33">
                  <c:v>12</c:v>
                </c:pt>
                <c:pt idx="34">
                  <c:v>12</c:v>
                </c:pt>
                <c:pt idx="35">
                  <c:v>11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10</c:v>
                </c:pt>
                <c:pt idx="41">
                  <c:v>11</c:v>
                </c:pt>
                <c:pt idx="42">
                  <c:v>15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13</c:v>
                </c:pt>
                <c:pt idx="47">
                  <c:v>17</c:v>
                </c:pt>
                <c:pt idx="48">
                  <c:v>13</c:v>
                </c:pt>
                <c:pt idx="49">
                  <c:v>12</c:v>
                </c:pt>
                <c:pt idx="50">
                  <c:v>13</c:v>
                </c:pt>
                <c:pt idx="51">
                  <c:v>16</c:v>
                </c:pt>
                <c:pt idx="52">
                  <c:v>9</c:v>
                </c:pt>
                <c:pt idx="53">
                  <c:v>12</c:v>
                </c:pt>
                <c:pt idx="54">
                  <c:v>13</c:v>
                </c:pt>
                <c:pt idx="55">
                  <c:v>12</c:v>
                </c:pt>
                <c:pt idx="56">
                  <c:v>15</c:v>
                </c:pt>
                <c:pt idx="57">
                  <c:v>16</c:v>
                </c:pt>
                <c:pt idx="58">
                  <c:v>14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10</c:v>
                </c:pt>
                <c:pt idx="63">
                  <c:v>13</c:v>
                </c:pt>
                <c:pt idx="64">
                  <c:v>12</c:v>
                </c:pt>
                <c:pt idx="65">
                  <c:v>16</c:v>
                </c:pt>
                <c:pt idx="66">
                  <c:v>12</c:v>
                </c:pt>
                <c:pt idx="67">
                  <c:v>10</c:v>
                </c:pt>
                <c:pt idx="68">
                  <c:v>11</c:v>
                </c:pt>
                <c:pt idx="69">
                  <c:v>15</c:v>
                </c:pt>
                <c:pt idx="70">
                  <c:v>11</c:v>
                </c:pt>
                <c:pt idx="71">
                  <c:v>10</c:v>
                </c:pt>
                <c:pt idx="72">
                  <c:v>11</c:v>
                </c:pt>
                <c:pt idx="73">
                  <c:v>14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13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9</c:v>
                </c:pt>
                <c:pt idx="82">
                  <c:v>11</c:v>
                </c:pt>
                <c:pt idx="83">
                  <c:v>13</c:v>
                </c:pt>
                <c:pt idx="84">
                  <c:v>12</c:v>
                </c:pt>
                <c:pt idx="85">
                  <c:v>12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10</c:v>
                </c:pt>
                <c:pt idx="90">
                  <c:v>11</c:v>
                </c:pt>
                <c:pt idx="91">
                  <c:v>13</c:v>
                </c:pt>
                <c:pt idx="92">
                  <c:v>12</c:v>
                </c:pt>
                <c:pt idx="93">
                  <c:v>14</c:v>
                </c:pt>
                <c:pt idx="94">
                  <c:v>12</c:v>
                </c:pt>
                <c:pt idx="95">
                  <c:v>13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13</c:v>
                </c:pt>
                <c:pt idx="100">
                  <c:v>8</c:v>
                </c:pt>
                <c:pt idx="101">
                  <c:v>16</c:v>
                </c:pt>
                <c:pt idx="102">
                  <c:v>12</c:v>
                </c:pt>
                <c:pt idx="103">
                  <c:v>10</c:v>
                </c:pt>
                <c:pt idx="104">
                  <c:v>16</c:v>
                </c:pt>
                <c:pt idx="105">
                  <c:v>10</c:v>
                </c:pt>
                <c:pt idx="106">
                  <c:v>10</c:v>
                </c:pt>
                <c:pt idx="107">
                  <c:v>14</c:v>
                </c:pt>
                <c:pt idx="108">
                  <c:v>11</c:v>
                </c:pt>
                <c:pt idx="109">
                  <c:v>14</c:v>
                </c:pt>
                <c:pt idx="110">
                  <c:v>14</c:v>
                </c:pt>
                <c:pt idx="111">
                  <c:v>11</c:v>
                </c:pt>
                <c:pt idx="112">
                  <c:v>10</c:v>
                </c:pt>
                <c:pt idx="113">
                  <c:v>18</c:v>
                </c:pt>
                <c:pt idx="114">
                  <c:v>10</c:v>
                </c:pt>
                <c:pt idx="115">
                  <c:v>14</c:v>
                </c:pt>
                <c:pt idx="116">
                  <c:v>16</c:v>
                </c:pt>
                <c:pt idx="117">
                  <c:v>15</c:v>
                </c:pt>
                <c:pt idx="118">
                  <c:v>11</c:v>
                </c:pt>
                <c:pt idx="119">
                  <c:v>14</c:v>
                </c:pt>
                <c:pt idx="120">
                  <c:v>14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9</c:v>
                </c:pt>
                <c:pt idx="126">
                  <c:v>11</c:v>
                </c:pt>
                <c:pt idx="127">
                  <c:v>11</c:v>
                </c:pt>
                <c:pt idx="128">
                  <c:v>15</c:v>
                </c:pt>
                <c:pt idx="129">
                  <c:v>13</c:v>
                </c:pt>
                <c:pt idx="130">
                  <c:v>12</c:v>
                </c:pt>
                <c:pt idx="131">
                  <c:v>8</c:v>
                </c:pt>
                <c:pt idx="132">
                  <c:v>11</c:v>
                </c:pt>
                <c:pt idx="133">
                  <c:v>13</c:v>
                </c:pt>
                <c:pt idx="134">
                  <c:v>12</c:v>
                </c:pt>
                <c:pt idx="135">
                  <c:v>14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15</c:v>
                </c:pt>
                <c:pt idx="140">
                  <c:v>10</c:v>
                </c:pt>
                <c:pt idx="141">
                  <c:v>13</c:v>
                </c:pt>
                <c:pt idx="142">
                  <c:v>12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10</c:v>
                </c:pt>
                <c:pt idx="147">
                  <c:v>14</c:v>
                </c:pt>
                <c:pt idx="148">
                  <c:v>9</c:v>
                </c:pt>
                <c:pt idx="149">
                  <c:v>11</c:v>
                </c:pt>
                <c:pt idx="150">
                  <c:v>9</c:v>
                </c:pt>
                <c:pt idx="151">
                  <c:v>13</c:v>
                </c:pt>
                <c:pt idx="152">
                  <c:v>11</c:v>
                </c:pt>
                <c:pt idx="153">
                  <c:v>13</c:v>
                </c:pt>
                <c:pt idx="154">
                  <c:v>11</c:v>
                </c:pt>
                <c:pt idx="155">
                  <c:v>6</c:v>
                </c:pt>
                <c:pt idx="156">
                  <c:v>12</c:v>
                </c:pt>
                <c:pt idx="157">
                  <c:v>10</c:v>
                </c:pt>
                <c:pt idx="158">
                  <c:v>11</c:v>
                </c:pt>
                <c:pt idx="159">
                  <c:v>13</c:v>
                </c:pt>
                <c:pt idx="160">
                  <c:v>11</c:v>
                </c:pt>
                <c:pt idx="161">
                  <c:v>8</c:v>
                </c:pt>
                <c:pt idx="162">
                  <c:v>11</c:v>
                </c:pt>
                <c:pt idx="163">
                  <c:v>0</c:v>
                </c:pt>
                <c:pt idx="164">
                  <c:v>10</c:v>
                </c:pt>
                <c:pt idx="165">
                  <c:v>13</c:v>
                </c:pt>
                <c:pt idx="166">
                  <c:v>11</c:v>
                </c:pt>
                <c:pt idx="167">
                  <c:v>13</c:v>
                </c:pt>
                <c:pt idx="168">
                  <c:v>8</c:v>
                </c:pt>
                <c:pt idx="169">
                  <c:v>10</c:v>
                </c:pt>
                <c:pt idx="170">
                  <c:v>11</c:v>
                </c:pt>
                <c:pt idx="171">
                  <c:v>11</c:v>
                </c:pt>
                <c:pt idx="172">
                  <c:v>1</c:v>
                </c:pt>
                <c:pt idx="173">
                  <c:v>10</c:v>
                </c:pt>
                <c:pt idx="174">
                  <c:v>9</c:v>
                </c:pt>
                <c:pt idx="175">
                  <c:v>8</c:v>
                </c:pt>
                <c:pt idx="176">
                  <c:v>10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11</c:v>
                </c:pt>
                <c:pt idx="181">
                  <c:v>18</c:v>
                </c:pt>
                <c:pt idx="182">
                  <c:v>13</c:v>
                </c:pt>
                <c:pt idx="183">
                  <c:v>17</c:v>
                </c:pt>
                <c:pt idx="184">
                  <c:v>10</c:v>
                </c:pt>
                <c:pt idx="185">
                  <c:v>18</c:v>
                </c:pt>
                <c:pt idx="186">
                  <c:v>10</c:v>
                </c:pt>
                <c:pt idx="187">
                  <c:v>13</c:v>
                </c:pt>
                <c:pt idx="188">
                  <c:v>15</c:v>
                </c:pt>
                <c:pt idx="189">
                  <c:v>11</c:v>
                </c:pt>
                <c:pt idx="190">
                  <c:v>14</c:v>
                </c:pt>
                <c:pt idx="191">
                  <c:v>10</c:v>
                </c:pt>
                <c:pt idx="192">
                  <c:v>11</c:v>
                </c:pt>
                <c:pt idx="193">
                  <c:v>13</c:v>
                </c:pt>
                <c:pt idx="194">
                  <c:v>11</c:v>
                </c:pt>
                <c:pt idx="195">
                  <c:v>13</c:v>
                </c:pt>
                <c:pt idx="196">
                  <c:v>17</c:v>
                </c:pt>
                <c:pt idx="197">
                  <c:v>14</c:v>
                </c:pt>
                <c:pt idx="198">
                  <c:v>16</c:v>
                </c:pt>
                <c:pt idx="199">
                  <c:v>14</c:v>
                </c:pt>
                <c:pt idx="200">
                  <c:v>11</c:v>
                </c:pt>
                <c:pt idx="201">
                  <c:v>16</c:v>
                </c:pt>
                <c:pt idx="202">
                  <c:v>14</c:v>
                </c:pt>
                <c:pt idx="203">
                  <c:v>10</c:v>
                </c:pt>
                <c:pt idx="204">
                  <c:v>13</c:v>
                </c:pt>
                <c:pt idx="205">
                  <c:v>12</c:v>
                </c:pt>
                <c:pt idx="206">
                  <c:v>12</c:v>
                </c:pt>
                <c:pt idx="207">
                  <c:v>10</c:v>
                </c:pt>
                <c:pt idx="208">
                  <c:v>12</c:v>
                </c:pt>
                <c:pt idx="209">
                  <c:v>16</c:v>
                </c:pt>
                <c:pt idx="210">
                  <c:v>14</c:v>
                </c:pt>
                <c:pt idx="211">
                  <c:v>12</c:v>
                </c:pt>
                <c:pt idx="212">
                  <c:v>16</c:v>
                </c:pt>
                <c:pt idx="213">
                  <c:v>11</c:v>
                </c:pt>
                <c:pt idx="214">
                  <c:v>15</c:v>
                </c:pt>
                <c:pt idx="215">
                  <c:v>12</c:v>
                </c:pt>
                <c:pt idx="216">
                  <c:v>15</c:v>
                </c:pt>
                <c:pt idx="217">
                  <c:v>13</c:v>
                </c:pt>
                <c:pt idx="218">
                  <c:v>13</c:v>
                </c:pt>
                <c:pt idx="219">
                  <c:v>8</c:v>
                </c:pt>
                <c:pt idx="220">
                  <c:v>12</c:v>
                </c:pt>
                <c:pt idx="221">
                  <c:v>15</c:v>
                </c:pt>
                <c:pt idx="222">
                  <c:v>13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11</c:v>
                </c:pt>
                <c:pt idx="228">
                  <c:v>11</c:v>
                </c:pt>
                <c:pt idx="229">
                  <c:v>15</c:v>
                </c:pt>
                <c:pt idx="230">
                  <c:v>10</c:v>
                </c:pt>
                <c:pt idx="231">
                  <c:v>10</c:v>
                </c:pt>
                <c:pt idx="232">
                  <c:v>13</c:v>
                </c:pt>
                <c:pt idx="233">
                  <c:v>13</c:v>
                </c:pt>
                <c:pt idx="234">
                  <c:v>11</c:v>
                </c:pt>
                <c:pt idx="235">
                  <c:v>12</c:v>
                </c:pt>
                <c:pt idx="236">
                  <c:v>14</c:v>
                </c:pt>
                <c:pt idx="237">
                  <c:v>10</c:v>
                </c:pt>
                <c:pt idx="238">
                  <c:v>16</c:v>
                </c:pt>
                <c:pt idx="239">
                  <c:v>8</c:v>
                </c:pt>
                <c:pt idx="240">
                  <c:v>17</c:v>
                </c:pt>
                <c:pt idx="241">
                  <c:v>11</c:v>
                </c:pt>
                <c:pt idx="242">
                  <c:v>11</c:v>
                </c:pt>
                <c:pt idx="243">
                  <c:v>16</c:v>
                </c:pt>
                <c:pt idx="244">
                  <c:v>12</c:v>
                </c:pt>
                <c:pt idx="245">
                  <c:v>13</c:v>
                </c:pt>
                <c:pt idx="246">
                  <c:v>13</c:v>
                </c:pt>
                <c:pt idx="247">
                  <c:v>14</c:v>
                </c:pt>
                <c:pt idx="248">
                  <c:v>9</c:v>
                </c:pt>
                <c:pt idx="249">
                  <c:v>12</c:v>
                </c:pt>
                <c:pt idx="250">
                  <c:v>16</c:v>
                </c:pt>
                <c:pt idx="251">
                  <c:v>10</c:v>
                </c:pt>
                <c:pt idx="252">
                  <c:v>13</c:v>
                </c:pt>
                <c:pt idx="253">
                  <c:v>10</c:v>
                </c:pt>
                <c:pt idx="254">
                  <c:v>10</c:v>
                </c:pt>
                <c:pt idx="255">
                  <c:v>7</c:v>
                </c:pt>
                <c:pt idx="256">
                  <c:v>8</c:v>
                </c:pt>
                <c:pt idx="257">
                  <c:v>9</c:v>
                </c:pt>
                <c:pt idx="258">
                  <c:v>15</c:v>
                </c:pt>
                <c:pt idx="259">
                  <c:v>10</c:v>
                </c:pt>
                <c:pt idx="260">
                  <c:v>11</c:v>
                </c:pt>
                <c:pt idx="261">
                  <c:v>13</c:v>
                </c:pt>
                <c:pt idx="262">
                  <c:v>8</c:v>
                </c:pt>
                <c:pt idx="263">
                  <c:v>8</c:v>
                </c:pt>
                <c:pt idx="264">
                  <c:v>10</c:v>
                </c:pt>
                <c:pt idx="265">
                  <c:v>15</c:v>
                </c:pt>
                <c:pt idx="266">
                  <c:v>14</c:v>
                </c:pt>
                <c:pt idx="267">
                  <c:v>15</c:v>
                </c:pt>
                <c:pt idx="268">
                  <c:v>12</c:v>
                </c:pt>
                <c:pt idx="269">
                  <c:v>15</c:v>
                </c:pt>
                <c:pt idx="270">
                  <c:v>15</c:v>
                </c:pt>
                <c:pt idx="271">
                  <c:v>12</c:v>
                </c:pt>
                <c:pt idx="272">
                  <c:v>15</c:v>
                </c:pt>
                <c:pt idx="273">
                  <c:v>11</c:v>
                </c:pt>
                <c:pt idx="274">
                  <c:v>10</c:v>
                </c:pt>
                <c:pt idx="275">
                  <c:v>11</c:v>
                </c:pt>
                <c:pt idx="276">
                  <c:v>16</c:v>
                </c:pt>
                <c:pt idx="277">
                  <c:v>11</c:v>
                </c:pt>
                <c:pt idx="278">
                  <c:v>13</c:v>
                </c:pt>
                <c:pt idx="279">
                  <c:v>5</c:v>
                </c:pt>
                <c:pt idx="280">
                  <c:v>10</c:v>
                </c:pt>
                <c:pt idx="281">
                  <c:v>11</c:v>
                </c:pt>
                <c:pt idx="282">
                  <c:v>7</c:v>
                </c:pt>
                <c:pt idx="283">
                  <c:v>10</c:v>
                </c:pt>
                <c:pt idx="284">
                  <c:v>6</c:v>
                </c:pt>
                <c:pt idx="285">
                  <c:v>12</c:v>
                </c:pt>
                <c:pt idx="286">
                  <c:v>13</c:v>
                </c:pt>
                <c:pt idx="287">
                  <c:v>10</c:v>
                </c:pt>
                <c:pt idx="288">
                  <c:v>13</c:v>
                </c:pt>
                <c:pt idx="289">
                  <c:v>17</c:v>
                </c:pt>
                <c:pt idx="290">
                  <c:v>11</c:v>
                </c:pt>
                <c:pt idx="291">
                  <c:v>11</c:v>
                </c:pt>
                <c:pt idx="292">
                  <c:v>14</c:v>
                </c:pt>
                <c:pt idx="293">
                  <c:v>14</c:v>
                </c:pt>
                <c:pt idx="294">
                  <c:v>13</c:v>
                </c:pt>
                <c:pt idx="295">
                  <c:v>14</c:v>
                </c:pt>
                <c:pt idx="296">
                  <c:v>16</c:v>
                </c:pt>
                <c:pt idx="297">
                  <c:v>10</c:v>
                </c:pt>
                <c:pt idx="298">
                  <c:v>12</c:v>
                </c:pt>
                <c:pt idx="299">
                  <c:v>12</c:v>
                </c:pt>
                <c:pt idx="300">
                  <c:v>15</c:v>
                </c:pt>
                <c:pt idx="301">
                  <c:v>11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9</c:v>
                </c:pt>
                <c:pt idx="306">
                  <c:v>16</c:v>
                </c:pt>
                <c:pt idx="307">
                  <c:v>14</c:v>
                </c:pt>
                <c:pt idx="308">
                  <c:v>12</c:v>
                </c:pt>
                <c:pt idx="309">
                  <c:v>14</c:v>
                </c:pt>
                <c:pt idx="310">
                  <c:v>10</c:v>
                </c:pt>
                <c:pt idx="311">
                  <c:v>12</c:v>
                </c:pt>
                <c:pt idx="312">
                  <c:v>16</c:v>
                </c:pt>
                <c:pt idx="313">
                  <c:v>13</c:v>
                </c:pt>
                <c:pt idx="314">
                  <c:v>18</c:v>
                </c:pt>
                <c:pt idx="315">
                  <c:v>15</c:v>
                </c:pt>
                <c:pt idx="316">
                  <c:v>16</c:v>
                </c:pt>
                <c:pt idx="317">
                  <c:v>12</c:v>
                </c:pt>
                <c:pt idx="318">
                  <c:v>10</c:v>
                </c:pt>
                <c:pt idx="319">
                  <c:v>12</c:v>
                </c:pt>
                <c:pt idx="320">
                  <c:v>13</c:v>
                </c:pt>
                <c:pt idx="321">
                  <c:v>15</c:v>
                </c:pt>
                <c:pt idx="322">
                  <c:v>10</c:v>
                </c:pt>
                <c:pt idx="323">
                  <c:v>10</c:v>
                </c:pt>
                <c:pt idx="324">
                  <c:v>11</c:v>
                </c:pt>
                <c:pt idx="325">
                  <c:v>10</c:v>
                </c:pt>
                <c:pt idx="326">
                  <c:v>13</c:v>
                </c:pt>
                <c:pt idx="327">
                  <c:v>18</c:v>
                </c:pt>
                <c:pt idx="328">
                  <c:v>13</c:v>
                </c:pt>
                <c:pt idx="329">
                  <c:v>14</c:v>
                </c:pt>
                <c:pt idx="330">
                  <c:v>14</c:v>
                </c:pt>
                <c:pt idx="331">
                  <c:v>12</c:v>
                </c:pt>
                <c:pt idx="332">
                  <c:v>18</c:v>
                </c:pt>
                <c:pt idx="333">
                  <c:v>14</c:v>
                </c:pt>
                <c:pt idx="334">
                  <c:v>15</c:v>
                </c:pt>
                <c:pt idx="335">
                  <c:v>17</c:v>
                </c:pt>
                <c:pt idx="336">
                  <c:v>16</c:v>
                </c:pt>
                <c:pt idx="337">
                  <c:v>18</c:v>
                </c:pt>
                <c:pt idx="338">
                  <c:v>19</c:v>
                </c:pt>
                <c:pt idx="339">
                  <c:v>15</c:v>
                </c:pt>
                <c:pt idx="340">
                  <c:v>15</c:v>
                </c:pt>
                <c:pt idx="341">
                  <c:v>13</c:v>
                </c:pt>
                <c:pt idx="342">
                  <c:v>14</c:v>
                </c:pt>
                <c:pt idx="343">
                  <c:v>17</c:v>
                </c:pt>
                <c:pt idx="344">
                  <c:v>17</c:v>
                </c:pt>
                <c:pt idx="345">
                  <c:v>15</c:v>
                </c:pt>
                <c:pt idx="346">
                  <c:v>13</c:v>
                </c:pt>
                <c:pt idx="347">
                  <c:v>8</c:v>
                </c:pt>
                <c:pt idx="348">
                  <c:v>16</c:v>
                </c:pt>
                <c:pt idx="349">
                  <c:v>18</c:v>
                </c:pt>
                <c:pt idx="350">
                  <c:v>11</c:v>
                </c:pt>
                <c:pt idx="351">
                  <c:v>15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14</c:v>
                </c:pt>
                <c:pt idx="356">
                  <c:v>17</c:v>
                </c:pt>
                <c:pt idx="357">
                  <c:v>17</c:v>
                </c:pt>
                <c:pt idx="358">
                  <c:v>15</c:v>
                </c:pt>
                <c:pt idx="359">
                  <c:v>17</c:v>
                </c:pt>
                <c:pt idx="360">
                  <c:v>14</c:v>
                </c:pt>
                <c:pt idx="361">
                  <c:v>10</c:v>
                </c:pt>
                <c:pt idx="362">
                  <c:v>13</c:v>
                </c:pt>
                <c:pt idx="363">
                  <c:v>14</c:v>
                </c:pt>
                <c:pt idx="364">
                  <c:v>17</c:v>
                </c:pt>
                <c:pt idx="365">
                  <c:v>17</c:v>
                </c:pt>
                <c:pt idx="366">
                  <c:v>13</c:v>
                </c:pt>
                <c:pt idx="367">
                  <c:v>14</c:v>
                </c:pt>
                <c:pt idx="368">
                  <c:v>11</c:v>
                </c:pt>
                <c:pt idx="369">
                  <c:v>11</c:v>
                </c:pt>
                <c:pt idx="370">
                  <c:v>9</c:v>
                </c:pt>
                <c:pt idx="371">
                  <c:v>10</c:v>
                </c:pt>
                <c:pt idx="372">
                  <c:v>13</c:v>
                </c:pt>
                <c:pt idx="373">
                  <c:v>10</c:v>
                </c:pt>
                <c:pt idx="374">
                  <c:v>17</c:v>
                </c:pt>
                <c:pt idx="375">
                  <c:v>15</c:v>
                </c:pt>
                <c:pt idx="376">
                  <c:v>14</c:v>
                </c:pt>
                <c:pt idx="377">
                  <c:v>13</c:v>
                </c:pt>
                <c:pt idx="378">
                  <c:v>17</c:v>
                </c:pt>
                <c:pt idx="379">
                  <c:v>10</c:v>
                </c:pt>
                <c:pt idx="380">
                  <c:v>13</c:v>
                </c:pt>
                <c:pt idx="381">
                  <c:v>15</c:v>
                </c:pt>
                <c:pt idx="382">
                  <c:v>11</c:v>
                </c:pt>
                <c:pt idx="383">
                  <c:v>12</c:v>
                </c:pt>
                <c:pt idx="384">
                  <c:v>10</c:v>
                </c:pt>
                <c:pt idx="385">
                  <c:v>10</c:v>
                </c:pt>
                <c:pt idx="386">
                  <c:v>15</c:v>
                </c:pt>
                <c:pt idx="387">
                  <c:v>15</c:v>
                </c:pt>
                <c:pt idx="388">
                  <c:v>12</c:v>
                </c:pt>
                <c:pt idx="389">
                  <c:v>12</c:v>
                </c:pt>
                <c:pt idx="390">
                  <c:v>14</c:v>
                </c:pt>
                <c:pt idx="391">
                  <c:v>14</c:v>
                </c:pt>
                <c:pt idx="392">
                  <c:v>15</c:v>
                </c:pt>
                <c:pt idx="393">
                  <c:v>15</c:v>
                </c:pt>
                <c:pt idx="394">
                  <c:v>16</c:v>
                </c:pt>
                <c:pt idx="395">
                  <c:v>13</c:v>
                </c:pt>
                <c:pt idx="396">
                  <c:v>17</c:v>
                </c:pt>
                <c:pt idx="397">
                  <c:v>14</c:v>
                </c:pt>
                <c:pt idx="398">
                  <c:v>14</c:v>
                </c:pt>
                <c:pt idx="399">
                  <c:v>17</c:v>
                </c:pt>
                <c:pt idx="400">
                  <c:v>17</c:v>
                </c:pt>
                <c:pt idx="401">
                  <c:v>14</c:v>
                </c:pt>
                <c:pt idx="402">
                  <c:v>13</c:v>
                </c:pt>
                <c:pt idx="403">
                  <c:v>15</c:v>
                </c:pt>
                <c:pt idx="404">
                  <c:v>16</c:v>
                </c:pt>
                <c:pt idx="405">
                  <c:v>11</c:v>
                </c:pt>
                <c:pt idx="406">
                  <c:v>13</c:v>
                </c:pt>
                <c:pt idx="407">
                  <c:v>12</c:v>
                </c:pt>
                <c:pt idx="408">
                  <c:v>12</c:v>
                </c:pt>
                <c:pt idx="409">
                  <c:v>15</c:v>
                </c:pt>
                <c:pt idx="410">
                  <c:v>17</c:v>
                </c:pt>
                <c:pt idx="411">
                  <c:v>15</c:v>
                </c:pt>
                <c:pt idx="412">
                  <c:v>17</c:v>
                </c:pt>
                <c:pt idx="413">
                  <c:v>10</c:v>
                </c:pt>
                <c:pt idx="414">
                  <c:v>15</c:v>
                </c:pt>
                <c:pt idx="415">
                  <c:v>11</c:v>
                </c:pt>
                <c:pt idx="416">
                  <c:v>18</c:v>
                </c:pt>
                <c:pt idx="417">
                  <c:v>17</c:v>
                </c:pt>
                <c:pt idx="418">
                  <c:v>14</c:v>
                </c:pt>
                <c:pt idx="419">
                  <c:v>11</c:v>
                </c:pt>
                <c:pt idx="420">
                  <c:v>17</c:v>
                </c:pt>
                <c:pt idx="421">
                  <c:v>10</c:v>
                </c:pt>
                <c:pt idx="422">
                  <c:v>13</c:v>
                </c:pt>
                <c:pt idx="423">
                  <c:v>11</c:v>
                </c:pt>
                <c:pt idx="424">
                  <c:v>12</c:v>
                </c:pt>
                <c:pt idx="425">
                  <c:v>10</c:v>
                </c:pt>
                <c:pt idx="426">
                  <c:v>11</c:v>
                </c:pt>
                <c:pt idx="427">
                  <c:v>17</c:v>
                </c:pt>
                <c:pt idx="428">
                  <c:v>9</c:v>
                </c:pt>
                <c:pt idx="429">
                  <c:v>11</c:v>
                </c:pt>
                <c:pt idx="430">
                  <c:v>11</c:v>
                </c:pt>
                <c:pt idx="431">
                  <c:v>10</c:v>
                </c:pt>
                <c:pt idx="432">
                  <c:v>7</c:v>
                </c:pt>
                <c:pt idx="433">
                  <c:v>14</c:v>
                </c:pt>
                <c:pt idx="434">
                  <c:v>11</c:v>
                </c:pt>
                <c:pt idx="435">
                  <c:v>10</c:v>
                </c:pt>
                <c:pt idx="436">
                  <c:v>8</c:v>
                </c:pt>
                <c:pt idx="437">
                  <c:v>12</c:v>
                </c:pt>
                <c:pt idx="438">
                  <c:v>12</c:v>
                </c:pt>
                <c:pt idx="439">
                  <c:v>16</c:v>
                </c:pt>
                <c:pt idx="440">
                  <c:v>0</c:v>
                </c:pt>
                <c:pt idx="441">
                  <c:v>9</c:v>
                </c:pt>
                <c:pt idx="442">
                  <c:v>14</c:v>
                </c:pt>
                <c:pt idx="443">
                  <c:v>8</c:v>
                </c:pt>
                <c:pt idx="444">
                  <c:v>11</c:v>
                </c:pt>
                <c:pt idx="445">
                  <c:v>9</c:v>
                </c:pt>
                <c:pt idx="446">
                  <c:v>11</c:v>
                </c:pt>
                <c:pt idx="447">
                  <c:v>9</c:v>
                </c:pt>
                <c:pt idx="448">
                  <c:v>17</c:v>
                </c:pt>
                <c:pt idx="449">
                  <c:v>13</c:v>
                </c:pt>
                <c:pt idx="450">
                  <c:v>15</c:v>
                </c:pt>
                <c:pt idx="451">
                  <c:v>11</c:v>
                </c:pt>
                <c:pt idx="452">
                  <c:v>11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15</c:v>
                </c:pt>
                <c:pt idx="457">
                  <c:v>11</c:v>
                </c:pt>
                <c:pt idx="458">
                  <c:v>13</c:v>
                </c:pt>
                <c:pt idx="459">
                  <c:v>10</c:v>
                </c:pt>
                <c:pt idx="460">
                  <c:v>11</c:v>
                </c:pt>
                <c:pt idx="461">
                  <c:v>14</c:v>
                </c:pt>
                <c:pt idx="462">
                  <c:v>14</c:v>
                </c:pt>
                <c:pt idx="463">
                  <c:v>12</c:v>
                </c:pt>
                <c:pt idx="464">
                  <c:v>11</c:v>
                </c:pt>
                <c:pt idx="465">
                  <c:v>8</c:v>
                </c:pt>
                <c:pt idx="466">
                  <c:v>11</c:v>
                </c:pt>
                <c:pt idx="467">
                  <c:v>14</c:v>
                </c:pt>
                <c:pt idx="468">
                  <c:v>13</c:v>
                </c:pt>
                <c:pt idx="469">
                  <c:v>13</c:v>
                </c:pt>
                <c:pt idx="470">
                  <c:v>12</c:v>
                </c:pt>
                <c:pt idx="471">
                  <c:v>12</c:v>
                </c:pt>
                <c:pt idx="472">
                  <c:v>16</c:v>
                </c:pt>
                <c:pt idx="473">
                  <c:v>10</c:v>
                </c:pt>
                <c:pt idx="474">
                  <c:v>11</c:v>
                </c:pt>
                <c:pt idx="475">
                  <c:v>14</c:v>
                </c:pt>
                <c:pt idx="476">
                  <c:v>8</c:v>
                </c:pt>
                <c:pt idx="477">
                  <c:v>11</c:v>
                </c:pt>
                <c:pt idx="478">
                  <c:v>8</c:v>
                </c:pt>
                <c:pt idx="479">
                  <c:v>10</c:v>
                </c:pt>
                <c:pt idx="480">
                  <c:v>10</c:v>
                </c:pt>
                <c:pt idx="481">
                  <c:v>11</c:v>
                </c:pt>
                <c:pt idx="482">
                  <c:v>9</c:v>
                </c:pt>
                <c:pt idx="483">
                  <c:v>11</c:v>
                </c:pt>
                <c:pt idx="484">
                  <c:v>8</c:v>
                </c:pt>
                <c:pt idx="485">
                  <c:v>11</c:v>
                </c:pt>
                <c:pt idx="486">
                  <c:v>10</c:v>
                </c:pt>
                <c:pt idx="487">
                  <c:v>10</c:v>
                </c:pt>
                <c:pt idx="488">
                  <c:v>9</c:v>
                </c:pt>
                <c:pt idx="489">
                  <c:v>10</c:v>
                </c:pt>
                <c:pt idx="490">
                  <c:v>10</c:v>
                </c:pt>
                <c:pt idx="491">
                  <c:v>9</c:v>
                </c:pt>
                <c:pt idx="492">
                  <c:v>10</c:v>
                </c:pt>
                <c:pt idx="493">
                  <c:v>10</c:v>
                </c:pt>
                <c:pt idx="494">
                  <c:v>9</c:v>
                </c:pt>
                <c:pt idx="495">
                  <c:v>13</c:v>
                </c:pt>
                <c:pt idx="496">
                  <c:v>14</c:v>
                </c:pt>
                <c:pt idx="497">
                  <c:v>10</c:v>
                </c:pt>
                <c:pt idx="498">
                  <c:v>14</c:v>
                </c:pt>
                <c:pt idx="499">
                  <c:v>16</c:v>
                </c:pt>
                <c:pt idx="500">
                  <c:v>7</c:v>
                </c:pt>
                <c:pt idx="501">
                  <c:v>13</c:v>
                </c:pt>
                <c:pt idx="502">
                  <c:v>9</c:v>
                </c:pt>
                <c:pt idx="503">
                  <c:v>14</c:v>
                </c:pt>
                <c:pt idx="504">
                  <c:v>13</c:v>
                </c:pt>
                <c:pt idx="505">
                  <c:v>11</c:v>
                </c:pt>
                <c:pt idx="506">
                  <c:v>10</c:v>
                </c:pt>
                <c:pt idx="507">
                  <c:v>10</c:v>
                </c:pt>
                <c:pt idx="508">
                  <c:v>9</c:v>
                </c:pt>
                <c:pt idx="509">
                  <c:v>18</c:v>
                </c:pt>
                <c:pt idx="510">
                  <c:v>17</c:v>
                </c:pt>
                <c:pt idx="511">
                  <c:v>10</c:v>
                </c:pt>
                <c:pt idx="512">
                  <c:v>7</c:v>
                </c:pt>
                <c:pt idx="513">
                  <c:v>8</c:v>
                </c:pt>
                <c:pt idx="514">
                  <c:v>7</c:v>
                </c:pt>
                <c:pt idx="515">
                  <c:v>10</c:v>
                </c:pt>
                <c:pt idx="516">
                  <c:v>16</c:v>
                </c:pt>
                <c:pt idx="517">
                  <c:v>15</c:v>
                </c:pt>
                <c:pt idx="518">
                  <c:v>8</c:v>
                </c:pt>
                <c:pt idx="519">
                  <c:v>0</c:v>
                </c:pt>
                <c:pt idx="520">
                  <c:v>8</c:v>
                </c:pt>
                <c:pt idx="521">
                  <c:v>10</c:v>
                </c:pt>
                <c:pt idx="522">
                  <c:v>8</c:v>
                </c:pt>
                <c:pt idx="523">
                  <c:v>6</c:v>
                </c:pt>
                <c:pt idx="524">
                  <c:v>8</c:v>
                </c:pt>
                <c:pt idx="525">
                  <c:v>16</c:v>
                </c:pt>
                <c:pt idx="526">
                  <c:v>14</c:v>
                </c:pt>
                <c:pt idx="527">
                  <c:v>10</c:v>
                </c:pt>
                <c:pt idx="528">
                  <c:v>9</c:v>
                </c:pt>
                <c:pt idx="529">
                  <c:v>11</c:v>
                </c:pt>
                <c:pt idx="530">
                  <c:v>9</c:v>
                </c:pt>
                <c:pt idx="531">
                  <c:v>10</c:v>
                </c:pt>
                <c:pt idx="532">
                  <c:v>8</c:v>
                </c:pt>
                <c:pt idx="533">
                  <c:v>16</c:v>
                </c:pt>
                <c:pt idx="534">
                  <c:v>12</c:v>
                </c:pt>
                <c:pt idx="535">
                  <c:v>10</c:v>
                </c:pt>
                <c:pt idx="536">
                  <c:v>14</c:v>
                </c:pt>
                <c:pt idx="537">
                  <c:v>12</c:v>
                </c:pt>
                <c:pt idx="538">
                  <c:v>11</c:v>
                </c:pt>
                <c:pt idx="539">
                  <c:v>10</c:v>
                </c:pt>
                <c:pt idx="540">
                  <c:v>11</c:v>
                </c:pt>
                <c:pt idx="541">
                  <c:v>11</c:v>
                </c:pt>
                <c:pt idx="542">
                  <c:v>12</c:v>
                </c:pt>
                <c:pt idx="543">
                  <c:v>8</c:v>
                </c:pt>
                <c:pt idx="544">
                  <c:v>12</c:v>
                </c:pt>
                <c:pt idx="545">
                  <c:v>8</c:v>
                </c:pt>
                <c:pt idx="546">
                  <c:v>16</c:v>
                </c:pt>
                <c:pt idx="547">
                  <c:v>11</c:v>
                </c:pt>
                <c:pt idx="548">
                  <c:v>11</c:v>
                </c:pt>
                <c:pt idx="549">
                  <c:v>18</c:v>
                </c:pt>
                <c:pt idx="550">
                  <c:v>13</c:v>
                </c:pt>
                <c:pt idx="551">
                  <c:v>13</c:v>
                </c:pt>
                <c:pt idx="552">
                  <c:v>10</c:v>
                </c:pt>
                <c:pt idx="553">
                  <c:v>12</c:v>
                </c:pt>
                <c:pt idx="554">
                  <c:v>10</c:v>
                </c:pt>
                <c:pt idx="555">
                  <c:v>13</c:v>
                </c:pt>
                <c:pt idx="556">
                  <c:v>11</c:v>
                </c:pt>
                <c:pt idx="557">
                  <c:v>10</c:v>
                </c:pt>
                <c:pt idx="558">
                  <c:v>10</c:v>
                </c:pt>
                <c:pt idx="559">
                  <c:v>13</c:v>
                </c:pt>
                <c:pt idx="560">
                  <c:v>10</c:v>
                </c:pt>
                <c:pt idx="561">
                  <c:v>10</c:v>
                </c:pt>
                <c:pt idx="562">
                  <c:v>12</c:v>
                </c:pt>
                <c:pt idx="563">
                  <c:v>0</c:v>
                </c:pt>
                <c:pt idx="564">
                  <c:v>10</c:v>
                </c:pt>
                <c:pt idx="565">
                  <c:v>9</c:v>
                </c:pt>
                <c:pt idx="566">
                  <c:v>9</c:v>
                </c:pt>
                <c:pt idx="567">
                  <c:v>0</c:v>
                </c:pt>
                <c:pt idx="568">
                  <c:v>9</c:v>
                </c:pt>
                <c:pt idx="569">
                  <c:v>8</c:v>
                </c:pt>
                <c:pt idx="570">
                  <c:v>8</c:v>
                </c:pt>
                <c:pt idx="571">
                  <c:v>9</c:v>
                </c:pt>
                <c:pt idx="572">
                  <c:v>7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11</c:v>
                </c:pt>
                <c:pt idx="577">
                  <c:v>11</c:v>
                </c:pt>
                <c:pt idx="578">
                  <c:v>10</c:v>
                </c:pt>
                <c:pt idx="579">
                  <c:v>9</c:v>
                </c:pt>
                <c:pt idx="580">
                  <c:v>10</c:v>
                </c:pt>
                <c:pt idx="581">
                  <c:v>8</c:v>
                </c:pt>
                <c:pt idx="582">
                  <c:v>7</c:v>
                </c:pt>
                <c:pt idx="583">
                  <c:v>0</c:v>
                </c:pt>
                <c:pt idx="584">
                  <c:v>11</c:v>
                </c:pt>
                <c:pt idx="585">
                  <c:v>8</c:v>
                </c:pt>
                <c:pt idx="586">
                  <c:v>0</c:v>
                </c:pt>
                <c:pt idx="587">
                  <c:v>8</c:v>
                </c:pt>
                <c:pt idx="588">
                  <c:v>9</c:v>
                </c:pt>
                <c:pt idx="589">
                  <c:v>10</c:v>
                </c:pt>
                <c:pt idx="590">
                  <c:v>7</c:v>
                </c:pt>
                <c:pt idx="591">
                  <c:v>14</c:v>
                </c:pt>
                <c:pt idx="592">
                  <c:v>13</c:v>
                </c:pt>
                <c:pt idx="593">
                  <c:v>14</c:v>
                </c:pt>
                <c:pt idx="594">
                  <c:v>18</c:v>
                </c:pt>
                <c:pt idx="595">
                  <c:v>17</c:v>
                </c:pt>
                <c:pt idx="596">
                  <c:v>18</c:v>
                </c:pt>
                <c:pt idx="597">
                  <c:v>0</c:v>
                </c:pt>
                <c:pt idx="598">
                  <c:v>11</c:v>
                </c:pt>
                <c:pt idx="599">
                  <c:v>14</c:v>
                </c:pt>
                <c:pt idx="600">
                  <c:v>14</c:v>
                </c:pt>
                <c:pt idx="601">
                  <c:v>10</c:v>
                </c:pt>
                <c:pt idx="602">
                  <c:v>13</c:v>
                </c:pt>
                <c:pt idx="603">
                  <c:v>0</c:v>
                </c:pt>
                <c:pt idx="604">
                  <c:v>10</c:v>
                </c:pt>
                <c:pt idx="605">
                  <c:v>0</c:v>
                </c:pt>
                <c:pt idx="606">
                  <c:v>18</c:v>
                </c:pt>
                <c:pt idx="607">
                  <c:v>12</c:v>
                </c:pt>
                <c:pt idx="608">
                  <c:v>11</c:v>
                </c:pt>
                <c:pt idx="609">
                  <c:v>12</c:v>
                </c:pt>
                <c:pt idx="610">
                  <c:v>0</c:v>
                </c:pt>
                <c:pt idx="611">
                  <c:v>15</c:v>
                </c:pt>
                <c:pt idx="612">
                  <c:v>11</c:v>
                </c:pt>
                <c:pt idx="613">
                  <c:v>10</c:v>
                </c:pt>
                <c:pt idx="614">
                  <c:v>12</c:v>
                </c:pt>
                <c:pt idx="615">
                  <c:v>15</c:v>
                </c:pt>
                <c:pt idx="616">
                  <c:v>14</c:v>
                </c:pt>
                <c:pt idx="617">
                  <c:v>18</c:v>
                </c:pt>
                <c:pt idx="618">
                  <c:v>15</c:v>
                </c:pt>
                <c:pt idx="619">
                  <c:v>13</c:v>
                </c:pt>
                <c:pt idx="620">
                  <c:v>15</c:v>
                </c:pt>
                <c:pt idx="621">
                  <c:v>13</c:v>
                </c:pt>
                <c:pt idx="622">
                  <c:v>9</c:v>
                </c:pt>
                <c:pt idx="623">
                  <c:v>16</c:v>
                </c:pt>
                <c:pt idx="624">
                  <c:v>9</c:v>
                </c:pt>
                <c:pt idx="625">
                  <c:v>10</c:v>
                </c:pt>
                <c:pt idx="626">
                  <c:v>0</c:v>
                </c:pt>
                <c:pt idx="627">
                  <c:v>10</c:v>
                </c:pt>
                <c:pt idx="628">
                  <c:v>12</c:v>
                </c:pt>
                <c:pt idx="629">
                  <c:v>9</c:v>
                </c:pt>
                <c:pt idx="630">
                  <c:v>17</c:v>
                </c:pt>
                <c:pt idx="631">
                  <c:v>12</c:v>
                </c:pt>
                <c:pt idx="632">
                  <c:v>9</c:v>
                </c:pt>
                <c:pt idx="633">
                  <c:v>14</c:v>
                </c:pt>
                <c:pt idx="634">
                  <c:v>16</c:v>
                </c:pt>
                <c:pt idx="635">
                  <c:v>9</c:v>
                </c:pt>
                <c:pt idx="636">
                  <c:v>19</c:v>
                </c:pt>
                <c:pt idx="637">
                  <c:v>0</c:v>
                </c:pt>
                <c:pt idx="638">
                  <c:v>16</c:v>
                </c:pt>
                <c:pt idx="639">
                  <c:v>0</c:v>
                </c:pt>
                <c:pt idx="640">
                  <c:v>0</c:v>
                </c:pt>
                <c:pt idx="641">
                  <c:v>15</c:v>
                </c:pt>
                <c:pt idx="642">
                  <c:v>11</c:v>
                </c:pt>
                <c:pt idx="643">
                  <c:v>10</c:v>
                </c:pt>
                <c:pt idx="644">
                  <c:v>10</c:v>
                </c:pt>
                <c:pt idx="645">
                  <c:v>16</c:v>
                </c:pt>
                <c:pt idx="646">
                  <c:v>9</c:v>
                </c:pt>
                <c:pt idx="647">
                  <c:v>10</c:v>
                </c:pt>
                <c:pt idx="64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E-48AB-906F-C164CD0C3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805359"/>
        <c:axId val="897801615"/>
      </c:scatterChart>
      <c:valAx>
        <c:axId val="89780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01615"/>
        <c:crosses val="autoZero"/>
        <c:crossBetween val="midCat"/>
      </c:valAx>
      <c:valAx>
        <c:axId val="8978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805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Absences</a:t>
            </a:r>
            <a:r>
              <a:rPr lang="en-US" baseline="0"/>
              <a:t> vs Final Grade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Student_Data!$AG$1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Student_Data!$AD$2:$AD$650</c:f>
              <c:numCache>
                <c:formatCode>General</c:formatCode>
                <c:ptCount val="649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10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6</c:v>
                </c:pt>
                <c:pt idx="26">
                  <c:v>8</c:v>
                </c:pt>
                <c:pt idx="27">
                  <c:v>0</c:v>
                </c:pt>
                <c:pt idx="28">
                  <c:v>2</c:v>
                </c:pt>
                <c:pt idx="29">
                  <c:v>4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4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2</c:v>
                </c:pt>
                <c:pt idx="39">
                  <c:v>8</c:v>
                </c:pt>
                <c:pt idx="40">
                  <c:v>16</c:v>
                </c:pt>
                <c:pt idx="41">
                  <c:v>8</c:v>
                </c:pt>
                <c:pt idx="42">
                  <c:v>0</c:v>
                </c:pt>
                <c:pt idx="43">
                  <c:v>0</c:v>
                </c:pt>
                <c:pt idx="44">
                  <c:v>14</c:v>
                </c:pt>
                <c:pt idx="45">
                  <c:v>4</c:v>
                </c:pt>
                <c:pt idx="46">
                  <c:v>6</c:v>
                </c:pt>
                <c:pt idx="47">
                  <c:v>2</c:v>
                </c:pt>
                <c:pt idx="48">
                  <c:v>4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8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6</c:v>
                </c:pt>
                <c:pt idx="70">
                  <c:v>2</c:v>
                </c:pt>
                <c:pt idx="71">
                  <c:v>0</c:v>
                </c:pt>
                <c:pt idx="72">
                  <c:v>2</c:v>
                </c:pt>
                <c:pt idx="73">
                  <c:v>0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14</c:v>
                </c:pt>
                <c:pt idx="80">
                  <c:v>0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4</c:v>
                </c:pt>
                <c:pt idx="86">
                  <c:v>6</c:v>
                </c:pt>
                <c:pt idx="87">
                  <c:v>4</c:v>
                </c:pt>
                <c:pt idx="88">
                  <c:v>6</c:v>
                </c:pt>
                <c:pt idx="89">
                  <c:v>6</c:v>
                </c:pt>
                <c:pt idx="90">
                  <c:v>2</c:v>
                </c:pt>
                <c:pt idx="91">
                  <c:v>6</c:v>
                </c:pt>
                <c:pt idx="92">
                  <c:v>0</c:v>
                </c:pt>
                <c:pt idx="93">
                  <c:v>2</c:v>
                </c:pt>
                <c:pt idx="94">
                  <c:v>2</c:v>
                </c:pt>
                <c:pt idx="95">
                  <c:v>4</c:v>
                </c:pt>
                <c:pt idx="96">
                  <c:v>6</c:v>
                </c:pt>
                <c:pt idx="97">
                  <c:v>0</c:v>
                </c:pt>
                <c:pt idx="98">
                  <c:v>4</c:v>
                </c:pt>
                <c:pt idx="99">
                  <c:v>2</c:v>
                </c:pt>
                <c:pt idx="100">
                  <c:v>12</c:v>
                </c:pt>
                <c:pt idx="101">
                  <c:v>0</c:v>
                </c:pt>
                <c:pt idx="102">
                  <c:v>2</c:v>
                </c:pt>
                <c:pt idx="103">
                  <c:v>16</c:v>
                </c:pt>
                <c:pt idx="104">
                  <c:v>0</c:v>
                </c:pt>
                <c:pt idx="105">
                  <c:v>10</c:v>
                </c:pt>
                <c:pt idx="106">
                  <c:v>4</c:v>
                </c:pt>
                <c:pt idx="107">
                  <c:v>4</c:v>
                </c:pt>
                <c:pt idx="108">
                  <c:v>8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12</c:v>
                </c:pt>
                <c:pt idx="113">
                  <c:v>10</c:v>
                </c:pt>
                <c:pt idx="114">
                  <c:v>4</c:v>
                </c:pt>
                <c:pt idx="115">
                  <c:v>6</c:v>
                </c:pt>
                <c:pt idx="116">
                  <c:v>4</c:v>
                </c:pt>
                <c:pt idx="117">
                  <c:v>6</c:v>
                </c:pt>
                <c:pt idx="118">
                  <c:v>14</c:v>
                </c:pt>
                <c:pt idx="119">
                  <c:v>2</c:v>
                </c:pt>
                <c:pt idx="120">
                  <c:v>0</c:v>
                </c:pt>
                <c:pt idx="121">
                  <c:v>6</c:v>
                </c:pt>
                <c:pt idx="122">
                  <c:v>2</c:v>
                </c:pt>
                <c:pt idx="123">
                  <c:v>4</c:v>
                </c:pt>
                <c:pt idx="124">
                  <c:v>0</c:v>
                </c:pt>
                <c:pt idx="125">
                  <c:v>2</c:v>
                </c:pt>
                <c:pt idx="126">
                  <c:v>0</c:v>
                </c:pt>
                <c:pt idx="127">
                  <c:v>0</c:v>
                </c:pt>
                <c:pt idx="128">
                  <c:v>8</c:v>
                </c:pt>
                <c:pt idx="129">
                  <c:v>4</c:v>
                </c:pt>
                <c:pt idx="130">
                  <c:v>0</c:v>
                </c:pt>
                <c:pt idx="131">
                  <c:v>10</c:v>
                </c:pt>
                <c:pt idx="132">
                  <c:v>8</c:v>
                </c:pt>
                <c:pt idx="133">
                  <c:v>6</c:v>
                </c:pt>
                <c:pt idx="134">
                  <c:v>2</c:v>
                </c:pt>
                <c:pt idx="135">
                  <c:v>12</c:v>
                </c:pt>
                <c:pt idx="136">
                  <c:v>4</c:v>
                </c:pt>
                <c:pt idx="137">
                  <c:v>12</c:v>
                </c:pt>
                <c:pt idx="138">
                  <c:v>2</c:v>
                </c:pt>
                <c:pt idx="139">
                  <c:v>4</c:v>
                </c:pt>
                <c:pt idx="140">
                  <c:v>2</c:v>
                </c:pt>
                <c:pt idx="141">
                  <c:v>0</c:v>
                </c:pt>
                <c:pt idx="142">
                  <c:v>2</c:v>
                </c:pt>
                <c:pt idx="143">
                  <c:v>10</c:v>
                </c:pt>
                <c:pt idx="144">
                  <c:v>8</c:v>
                </c:pt>
                <c:pt idx="145">
                  <c:v>4</c:v>
                </c:pt>
                <c:pt idx="146">
                  <c:v>0</c:v>
                </c:pt>
                <c:pt idx="147">
                  <c:v>6</c:v>
                </c:pt>
                <c:pt idx="148">
                  <c:v>2</c:v>
                </c:pt>
                <c:pt idx="149">
                  <c:v>6</c:v>
                </c:pt>
                <c:pt idx="150">
                  <c:v>24</c:v>
                </c:pt>
                <c:pt idx="151">
                  <c:v>0</c:v>
                </c:pt>
                <c:pt idx="152">
                  <c:v>4</c:v>
                </c:pt>
                <c:pt idx="153">
                  <c:v>2</c:v>
                </c:pt>
                <c:pt idx="154">
                  <c:v>4</c:v>
                </c:pt>
                <c:pt idx="155">
                  <c:v>22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6</c:v>
                </c:pt>
                <c:pt idx="160">
                  <c:v>6</c:v>
                </c:pt>
                <c:pt idx="161">
                  <c:v>16</c:v>
                </c:pt>
                <c:pt idx="162">
                  <c:v>0</c:v>
                </c:pt>
                <c:pt idx="163">
                  <c:v>0</c:v>
                </c:pt>
                <c:pt idx="164">
                  <c:v>6</c:v>
                </c:pt>
                <c:pt idx="165">
                  <c:v>2</c:v>
                </c:pt>
                <c:pt idx="166">
                  <c:v>6</c:v>
                </c:pt>
                <c:pt idx="167">
                  <c:v>0</c:v>
                </c:pt>
                <c:pt idx="168">
                  <c:v>0</c:v>
                </c:pt>
                <c:pt idx="169">
                  <c:v>14</c:v>
                </c:pt>
                <c:pt idx="170">
                  <c:v>6</c:v>
                </c:pt>
                <c:pt idx="171">
                  <c:v>4</c:v>
                </c:pt>
                <c:pt idx="172">
                  <c:v>0</c:v>
                </c:pt>
                <c:pt idx="173">
                  <c:v>0</c:v>
                </c:pt>
                <c:pt idx="174">
                  <c:v>8</c:v>
                </c:pt>
                <c:pt idx="175">
                  <c:v>4</c:v>
                </c:pt>
                <c:pt idx="176">
                  <c:v>2</c:v>
                </c:pt>
                <c:pt idx="177">
                  <c:v>2</c:v>
                </c:pt>
                <c:pt idx="178">
                  <c:v>0</c:v>
                </c:pt>
                <c:pt idx="179">
                  <c:v>10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</c:v>
                </c:pt>
                <c:pt idx="192">
                  <c:v>8</c:v>
                </c:pt>
                <c:pt idx="193">
                  <c:v>4</c:v>
                </c:pt>
                <c:pt idx="194">
                  <c:v>4</c:v>
                </c:pt>
                <c:pt idx="195">
                  <c:v>0</c:v>
                </c:pt>
                <c:pt idx="196">
                  <c:v>0</c:v>
                </c:pt>
                <c:pt idx="197">
                  <c:v>32</c:v>
                </c:pt>
                <c:pt idx="198">
                  <c:v>8</c:v>
                </c:pt>
                <c:pt idx="199">
                  <c:v>6</c:v>
                </c:pt>
                <c:pt idx="200">
                  <c:v>0</c:v>
                </c:pt>
                <c:pt idx="201">
                  <c:v>0</c:v>
                </c:pt>
                <c:pt idx="202">
                  <c:v>10</c:v>
                </c:pt>
                <c:pt idx="203">
                  <c:v>6</c:v>
                </c:pt>
                <c:pt idx="204">
                  <c:v>6</c:v>
                </c:pt>
                <c:pt idx="205">
                  <c:v>0</c:v>
                </c:pt>
                <c:pt idx="206">
                  <c:v>16</c:v>
                </c:pt>
                <c:pt idx="207">
                  <c:v>0</c:v>
                </c:pt>
                <c:pt idx="208">
                  <c:v>0</c:v>
                </c:pt>
                <c:pt idx="209">
                  <c:v>8</c:v>
                </c:pt>
                <c:pt idx="210">
                  <c:v>4</c:v>
                </c:pt>
                <c:pt idx="211">
                  <c:v>16</c:v>
                </c:pt>
                <c:pt idx="212">
                  <c:v>30</c:v>
                </c:pt>
                <c:pt idx="213">
                  <c:v>0</c:v>
                </c:pt>
                <c:pt idx="214">
                  <c:v>2</c:v>
                </c:pt>
                <c:pt idx="215">
                  <c:v>4</c:v>
                </c:pt>
                <c:pt idx="216">
                  <c:v>0</c:v>
                </c:pt>
                <c:pt idx="217">
                  <c:v>21</c:v>
                </c:pt>
                <c:pt idx="218">
                  <c:v>6</c:v>
                </c:pt>
                <c:pt idx="219">
                  <c:v>14</c:v>
                </c:pt>
                <c:pt idx="220">
                  <c:v>2</c:v>
                </c:pt>
                <c:pt idx="221">
                  <c:v>4</c:v>
                </c:pt>
                <c:pt idx="222">
                  <c:v>2</c:v>
                </c:pt>
                <c:pt idx="223">
                  <c:v>0</c:v>
                </c:pt>
                <c:pt idx="224">
                  <c:v>4</c:v>
                </c:pt>
                <c:pt idx="225">
                  <c:v>15</c:v>
                </c:pt>
                <c:pt idx="226">
                  <c:v>0</c:v>
                </c:pt>
                <c:pt idx="227">
                  <c:v>10</c:v>
                </c:pt>
                <c:pt idx="228">
                  <c:v>6</c:v>
                </c:pt>
                <c:pt idx="229">
                  <c:v>2</c:v>
                </c:pt>
                <c:pt idx="230">
                  <c:v>16</c:v>
                </c:pt>
                <c:pt idx="231">
                  <c:v>10</c:v>
                </c:pt>
                <c:pt idx="232">
                  <c:v>4</c:v>
                </c:pt>
                <c:pt idx="233">
                  <c:v>0</c:v>
                </c:pt>
                <c:pt idx="234">
                  <c:v>0</c:v>
                </c:pt>
                <c:pt idx="235">
                  <c:v>12</c:v>
                </c:pt>
                <c:pt idx="236">
                  <c:v>0</c:v>
                </c:pt>
                <c:pt idx="237">
                  <c:v>9</c:v>
                </c:pt>
                <c:pt idx="238">
                  <c:v>4</c:v>
                </c:pt>
                <c:pt idx="239">
                  <c:v>4</c:v>
                </c:pt>
                <c:pt idx="240">
                  <c:v>2</c:v>
                </c:pt>
                <c:pt idx="241">
                  <c:v>0</c:v>
                </c:pt>
                <c:pt idx="242">
                  <c:v>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</c:v>
                </c:pt>
                <c:pt idx="249">
                  <c:v>0</c:v>
                </c:pt>
                <c:pt idx="250">
                  <c:v>0</c:v>
                </c:pt>
                <c:pt idx="251">
                  <c:v>4</c:v>
                </c:pt>
                <c:pt idx="252">
                  <c:v>0</c:v>
                </c:pt>
                <c:pt idx="253">
                  <c:v>18</c:v>
                </c:pt>
                <c:pt idx="254">
                  <c:v>16</c:v>
                </c:pt>
                <c:pt idx="255">
                  <c:v>14</c:v>
                </c:pt>
                <c:pt idx="256">
                  <c:v>26</c:v>
                </c:pt>
                <c:pt idx="257">
                  <c:v>6</c:v>
                </c:pt>
                <c:pt idx="258">
                  <c:v>4</c:v>
                </c:pt>
                <c:pt idx="259">
                  <c:v>10</c:v>
                </c:pt>
                <c:pt idx="260">
                  <c:v>4</c:v>
                </c:pt>
                <c:pt idx="261">
                  <c:v>2</c:v>
                </c:pt>
                <c:pt idx="262">
                  <c:v>14</c:v>
                </c:pt>
                <c:pt idx="263">
                  <c:v>16</c:v>
                </c:pt>
                <c:pt idx="264">
                  <c:v>8</c:v>
                </c:pt>
                <c:pt idx="265">
                  <c:v>4</c:v>
                </c:pt>
                <c:pt idx="266">
                  <c:v>4</c:v>
                </c:pt>
                <c:pt idx="267">
                  <c:v>8</c:v>
                </c:pt>
                <c:pt idx="268">
                  <c:v>0</c:v>
                </c:pt>
                <c:pt idx="269">
                  <c:v>7</c:v>
                </c:pt>
                <c:pt idx="270">
                  <c:v>4</c:v>
                </c:pt>
                <c:pt idx="271">
                  <c:v>2</c:v>
                </c:pt>
                <c:pt idx="272">
                  <c:v>2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7</c:v>
                </c:pt>
                <c:pt idx="277">
                  <c:v>4</c:v>
                </c:pt>
                <c:pt idx="278">
                  <c:v>2</c:v>
                </c:pt>
                <c:pt idx="279">
                  <c:v>12</c:v>
                </c:pt>
                <c:pt idx="280">
                  <c:v>8</c:v>
                </c:pt>
                <c:pt idx="281">
                  <c:v>0</c:v>
                </c:pt>
                <c:pt idx="282">
                  <c:v>8</c:v>
                </c:pt>
                <c:pt idx="283">
                  <c:v>4</c:v>
                </c:pt>
                <c:pt idx="284">
                  <c:v>4</c:v>
                </c:pt>
                <c:pt idx="285">
                  <c:v>2</c:v>
                </c:pt>
                <c:pt idx="286">
                  <c:v>0</c:v>
                </c:pt>
                <c:pt idx="287">
                  <c:v>0</c:v>
                </c:pt>
                <c:pt idx="288">
                  <c:v>2</c:v>
                </c:pt>
                <c:pt idx="289">
                  <c:v>2</c:v>
                </c:pt>
                <c:pt idx="290">
                  <c:v>0</c:v>
                </c:pt>
                <c:pt idx="291">
                  <c:v>4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0</c:v>
                </c:pt>
                <c:pt idx="298">
                  <c:v>2</c:v>
                </c:pt>
                <c:pt idx="299">
                  <c:v>8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0</c:v>
                </c:pt>
                <c:pt idx="305">
                  <c:v>8</c:v>
                </c:pt>
                <c:pt idx="306">
                  <c:v>6</c:v>
                </c:pt>
                <c:pt idx="307">
                  <c:v>0</c:v>
                </c:pt>
                <c:pt idx="308">
                  <c:v>8</c:v>
                </c:pt>
                <c:pt idx="309">
                  <c:v>4</c:v>
                </c:pt>
                <c:pt idx="310">
                  <c:v>12</c:v>
                </c:pt>
                <c:pt idx="311">
                  <c:v>16</c:v>
                </c:pt>
                <c:pt idx="312">
                  <c:v>10</c:v>
                </c:pt>
                <c:pt idx="313">
                  <c:v>2</c:v>
                </c:pt>
                <c:pt idx="314">
                  <c:v>2</c:v>
                </c:pt>
                <c:pt idx="315">
                  <c:v>8</c:v>
                </c:pt>
                <c:pt idx="316">
                  <c:v>6</c:v>
                </c:pt>
                <c:pt idx="317">
                  <c:v>6</c:v>
                </c:pt>
                <c:pt idx="318">
                  <c:v>15</c:v>
                </c:pt>
                <c:pt idx="319">
                  <c:v>6</c:v>
                </c:pt>
                <c:pt idx="320">
                  <c:v>2</c:v>
                </c:pt>
                <c:pt idx="321">
                  <c:v>8</c:v>
                </c:pt>
                <c:pt idx="322">
                  <c:v>0</c:v>
                </c:pt>
                <c:pt idx="323">
                  <c:v>0</c:v>
                </c:pt>
                <c:pt idx="324">
                  <c:v>10</c:v>
                </c:pt>
                <c:pt idx="325">
                  <c:v>22</c:v>
                </c:pt>
                <c:pt idx="326">
                  <c:v>18</c:v>
                </c:pt>
                <c:pt idx="327">
                  <c:v>2</c:v>
                </c:pt>
                <c:pt idx="328">
                  <c:v>0</c:v>
                </c:pt>
                <c:pt idx="329">
                  <c:v>12</c:v>
                </c:pt>
                <c:pt idx="330">
                  <c:v>10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8</c:v>
                </c:pt>
                <c:pt idx="359">
                  <c:v>2</c:v>
                </c:pt>
                <c:pt idx="360">
                  <c:v>8</c:v>
                </c:pt>
                <c:pt idx="361">
                  <c:v>9</c:v>
                </c:pt>
                <c:pt idx="362">
                  <c:v>0</c:v>
                </c:pt>
                <c:pt idx="363">
                  <c:v>4</c:v>
                </c:pt>
                <c:pt idx="364">
                  <c:v>2</c:v>
                </c:pt>
                <c:pt idx="365">
                  <c:v>14</c:v>
                </c:pt>
                <c:pt idx="366">
                  <c:v>0</c:v>
                </c:pt>
                <c:pt idx="367">
                  <c:v>2</c:v>
                </c:pt>
                <c:pt idx="368">
                  <c:v>2</c:v>
                </c:pt>
                <c:pt idx="369">
                  <c:v>12</c:v>
                </c:pt>
                <c:pt idx="370">
                  <c:v>2</c:v>
                </c:pt>
                <c:pt idx="371">
                  <c:v>2</c:v>
                </c:pt>
                <c:pt idx="372">
                  <c:v>4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0</c:v>
                </c:pt>
                <c:pt idx="381">
                  <c:v>4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6</c:v>
                </c:pt>
                <c:pt idx="388">
                  <c:v>8</c:v>
                </c:pt>
                <c:pt idx="389">
                  <c:v>0</c:v>
                </c:pt>
                <c:pt idx="390">
                  <c:v>6</c:v>
                </c:pt>
                <c:pt idx="391">
                  <c:v>8</c:v>
                </c:pt>
                <c:pt idx="392">
                  <c:v>0</c:v>
                </c:pt>
                <c:pt idx="393">
                  <c:v>4</c:v>
                </c:pt>
                <c:pt idx="394">
                  <c:v>0</c:v>
                </c:pt>
                <c:pt idx="395">
                  <c:v>0</c:v>
                </c:pt>
                <c:pt idx="396">
                  <c:v>6</c:v>
                </c:pt>
                <c:pt idx="397">
                  <c:v>18</c:v>
                </c:pt>
                <c:pt idx="398">
                  <c:v>0</c:v>
                </c:pt>
                <c:pt idx="399">
                  <c:v>4</c:v>
                </c:pt>
                <c:pt idx="400">
                  <c:v>4</c:v>
                </c:pt>
                <c:pt idx="401">
                  <c:v>0</c:v>
                </c:pt>
                <c:pt idx="402">
                  <c:v>0</c:v>
                </c:pt>
                <c:pt idx="403">
                  <c:v>10</c:v>
                </c:pt>
                <c:pt idx="404">
                  <c:v>4</c:v>
                </c:pt>
                <c:pt idx="405">
                  <c:v>16</c:v>
                </c:pt>
                <c:pt idx="406">
                  <c:v>6</c:v>
                </c:pt>
                <c:pt idx="407">
                  <c:v>0</c:v>
                </c:pt>
                <c:pt idx="408">
                  <c:v>11</c:v>
                </c:pt>
                <c:pt idx="409">
                  <c:v>9</c:v>
                </c:pt>
                <c:pt idx="410">
                  <c:v>0</c:v>
                </c:pt>
                <c:pt idx="411">
                  <c:v>2</c:v>
                </c:pt>
                <c:pt idx="412">
                  <c:v>0</c:v>
                </c:pt>
                <c:pt idx="413">
                  <c:v>21</c:v>
                </c:pt>
                <c:pt idx="414">
                  <c:v>8</c:v>
                </c:pt>
                <c:pt idx="415">
                  <c:v>5</c:v>
                </c:pt>
                <c:pt idx="416">
                  <c:v>10</c:v>
                </c:pt>
                <c:pt idx="417">
                  <c:v>5</c:v>
                </c:pt>
                <c:pt idx="418">
                  <c:v>13</c:v>
                </c:pt>
                <c:pt idx="419">
                  <c:v>10</c:v>
                </c:pt>
                <c:pt idx="420">
                  <c:v>10</c:v>
                </c:pt>
                <c:pt idx="421">
                  <c:v>5</c:v>
                </c:pt>
                <c:pt idx="422">
                  <c:v>4</c:v>
                </c:pt>
                <c:pt idx="423">
                  <c:v>11</c:v>
                </c:pt>
                <c:pt idx="424">
                  <c:v>0</c:v>
                </c:pt>
                <c:pt idx="425">
                  <c:v>6</c:v>
                </c:pt>
                <c:pt idx="426">
                  <c:v>4</c:v>
                </c:pt>
                <c:pt idx="427">
                  <c:v>0</c:v>
                </c:pt>
                <c:pt idx="428">
                  <c:v>0</c:v>
                </c:pt>
                <c:pt idx="429">
                  <c:v>5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4</c:v>
                </c:pt>
                <c:pt idx="435">
                  <c:v>0</c:v>
                </c:pt>
                <c:pt idx="436">
                  <c:v>4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0</c:v>
                </c:pt>
                <c:pt idx="443">
                  <c:v>7</c:v>
                </c:pt>
                <c:pt idx="444">
                  <c:v>4</c:v>
                </c:pt>
                <c:pt idx="445">
                  <c:v>8</c:v>
                </c:pt>
                <c:pt idx="446">
                  <c:v>0</c:v>
                </c:pt>
                <c:pt idx="447">
                  <c:v>8</c:v>
                </c:pt>
                <c:pt idx="448">
                  <c:v>6</c:v>
                </c:pt>
                <c:pt idx="449">
                  <c:v>3</c:v>
                </c:pt>
                <c:pt idx="450">
                  <c:v>2</c:v>
                </c:pt>
                <c:pt idx="451">
                  <c:v>0</c:v>
                </c:pt>
                <c:pt idx="452">
                  <c:v>4</c:v>
                </c:pt>
                <c:pt idx="453">
                  <c:v>0</c:v>
                </c:pt>
                <c:pt idx="454">
                  <c:v>3</c:v>
                </c:pt>
                <c:pt idx="455">
                  <c:v>0</c:v>
                </c:pt>
                <c:pt idx="456">
                  <c:v>0</c:v>
                </c:pt>
                <c:pt idx="457">
                  <c:v>4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2</c:v>
                </c:pt>
                <c:pt idx="464">
                  <c:v>6</c:v>
                </c:pt>
                <c:pt idx="465">
                  <c:v>9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4</c:v>
                </c:pt>
                <c:pt idx="471">
                  <c:v>2</c:v>
                </c:pt>
                <c:pt idx="472">
                  <c:v>0</c:v>
                </c:pt>
                <c:pt idx="473">
                  <c:v>4</c:v>
                </c:pt>
                <c:pt idx="474">
                  <c:v>2</c:v>
                </c:pt>
                <c:pt idx="475">
                  <c:v>0</c:v>
                </c:pt>
                <c:pt idx="476">
                  <c:v>2</c:v>
                </c:pt>
                <c:pt idx="477">
                  <c:v>11</c:v>
                </c:pt>
                <c:pt idx="478">
                  <c:v>0</c:v>
                </c:pt>
                <c:pt idx="479">
                  <c:v>4</c:v>
                </c:pt>
                <c:pt idx="480">
                  <c:v>0</c:v>
                </c:pt>
                <c:pt idx="481">
                  <c:v>2</c:v>
                </c:pt>
                <c:pt idx="482">
                  <c:v>0</c:v>
                </c:pt>
                <c:pt idx="483">
                  <c:v>1</c:v>
                </c:pt>
                <c:pt idx="484">
                  <c:v>6</c:v>
                </c:pt>
                <c:pt idx="485">
                  <c:v>0</c:v>
                </c:pt>
                <c:pt idx="486">
                  <c:v>1</c:v>
                </c:pt>
                <c:pt idx="487">
                  <c:v>6</c:v>
                </c:pt>
                <c:pt idx="488">
                  <c:v>6</c:v>
                </c:pt>
                <c:pt idx="489">
                  <c:v>0</c:v>
                </c:pt>
                <c:pt idx="490">
                  <c:v>4</c:v>
                </c:pt>
                <c:pt idx="491">
                  <c:v>12</c:v>
                </c:pt>
                <c:pt idx="492">
                  <c:v>2</c:v>
                </c:pt>
                <c:pt idx="493">
                  <c:v>5</c:v>
                </c:pt>
                <c:pt idx="494">
                  <c:v>0</c:v>
                </c:pt>
                <c:pt idx="495">
                  <c:v>0</c:v>
                </c:pt>
                <c:pt idx="496">
                  <c:v>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12</c:v>
                </c:pt>
                <c:pt idx="501">
                  <c:v>8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8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9</c:v>
                </c:pt>
                <c:pt idx="513">
                  <c:v>0</c:v>
                </c:pt>
                <c:pt idx="514">
                  <c:v>2</c:v>
                </c:pt>
                <c:pt idx="515">
                  <c:v>8</c:v>
                </c:pt>
                <c:pt idx="516">
                  <c:v>0</c:v>
                </c:pt>
                <c:pt idx="517">
                  <c:v>0</c:v>
                </c:pt>
                <c:pt idx="518">
                  <c:v>8</c:v>
                </c:pt>
                <c:pt idx="519">
                  <c:v>0</c:v>
                </c:pt>
                <c:pt idx="520">
                  <c:v>6</c:v>
                </c:pt>
                <c:pt idx="521">
                  <c:v>0</c:v>
                </c:pt>
                <c:pt idx="522">
                  <c:v>4</c:v>
                </c:pt>
                <c:pt idx="523">
                  <c:v>2</c:v>
                </c:pt>
                <c:pt idx="524">
                  <c:v>2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5</c:v>
                </c:pt>
                <c:pt idx="529">
                  <c:v>1</c:v>
                </c:pt>
                <c:pt idx="530">
                  <c:v>8</c:v>
                </c:pt>
                <c:pt idx="531">
                  <c:v>0</c:v>
                </c:pt>
                <c:pt idx="532">
                  <c:v>2</c:v>
                </c:pt>
                <c:pt idx="533">
                  <c:v>0</c:v>
                </c:pt>
                <c:pt idx="534">
                  <c:v>0</c:v>
                </c:pt>
                <c:pt idx="535">
                  <c:v>11</c:v>
                </c:pt>
                <c:pt idx="536">
                  <c:v>8</c:v>
                </c:pt>
                <c:pt idx="537">
                  <c:v>11</c:v>
                </c:pt>
                <c:pt idx="538">
                  <c:v>2</c:v>
                </c:pt>
                <c:pt idx="539">
                  <c:v>8</c:v>
                </c:pt>
                <c:pt idx="540">
                  <c:v>5</c:v>
                </c:pt>
                <c:pt idx="541">
                  <c:v>0</c:v>
                </c:pt>
                <c:pt idx="542">
                  <c:v>1</c:v>
                </c:pt>
                <c:pt idx="543">
                  <c:v>2</c:v>
                </c:pt>
                <c:pt idx="544">
                  <c:v>2</c:v>
                </c:pt>
                <c:pt idx="545">
                  <c:v>8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2</c:v>
                </c:pt>
                <c:pt idx="553">
                  <c:v>4</c:v>
                </c:pt>
                <c:pt idx="554">
                  <c:v>3</c:v>
                </c:pt>
                <c:pt idx="555">
                  <c:v>5</c:v>
                </c:pt>
                <c:pt idx="556">
                  <c:v>4</c:v>
                </c:pt>
                <c:pt idx="557">
                  <c:v>2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6</c:v>
                </c:pt>
                <c:pt idx="562">
                  <c:v>0</c:v>
                </c:pt>
                <c:pt idx="563">
                  <c:v>0</c:v>
                </c:pt>
                <c:pt idx="564">
                  <c:v>2</c:v>
                </c:pt>
                <c:pt idx="565">
                  <c:v>0</c:v>
                </c:pt>
                <c:pt idx="566">
                  <c:v>2</c:v>
                </c:pt>
                <c:pt idx="567">
                  <c:v>0</c:v>
                </c:pt>
                <c:pt idx="568">
                  <c:v>4</c:v>
                </c:pt>
                <c:pt idx="569">
                  <c:v>9</c:v>
                </c:pt>
                <c:pt idx="570">
                  <c:v>6</c:v>
                </c:pt>
                <c:pt idx="571">
                  <c:v>4</c:v>
                </c:pt>
                <c:pt idx="572">
                  <c:v>8</c:v>
                </c:pt>
                <c:pt idx="573">
                  <c:v>9</c:v>
                </c:pt>
                <c:pt idx="574">
                  <c:v>12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4</c:v>
                </c:pt>
                <c:pt idx="579">
                  <c:v>0</c:v>
                </c:pt>
                <c:pt idx="580">
                  <c:v>4</c:v>
                </c:pt>
                <c:pt idx="581">
                  <c:v>2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5</c:v>
                </c:pt>
                <c:pt idx="586">
                  <c:v>0</c:v>
                </c:pt>
                <c:pt idx="587">
                  <c:v>3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2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3</c:v>
                </c:pt>
                <c:pt idx="596">
                  <c:v>0</c:v>
                </c:pt>
                <c:pt idx="597">
                  <c:v>0</c:v>
                </c:pt>
                <c:pt idx="598">
                  <c:v>8</c:v>
                </c:pt>
                <c:pt idx="599">
                  <c:v>5</c:v>
                </c:pt>
                <c:pt idx="600">
                  <c:v>4</c:v>
                </c:pt>
                <c:pt idx="601">
                  <c:v>4</c:v>
                </c:pt>
                <c:pt idx="602">
                  <c:v>0</c:v>
                </c:pt>
                <c:pt idx="603">
                  <c:v>0</c:v>
                </c:pt>
                <c:pt idx="604">
                  <c:v>2</c:v>
                </c:pt>
                <c:pt idx="605">
                  <c:v>0</c:v>
                </c:pt>
                <c:pt idx="606">
                  <c:v>0</c:v>
                </c:pt>
                <c:pt idx="607">
                  <c:v>5</c:v>
                </c:pt>
                <c:pt idx="608">
                  <c:v>2</c:v>
                </c:pt>
                <c:pt idx="609">
                  <c:v>0</c:v>
                </c:pt>
                <c:pt idx="610">
                  <c:v>0</c:v>
                </c:pt>
                <c:pt idx="611">
                  <c:v>5</c:v>
                </c:pt>
                <c:pt idx="612">
                  <c:v>4</c:v>
                </c:pt>
                <c:pt idx="613">
                  <c:v>0</c:v>
                </c:pt>
                <c:pt idx="614">
                  <c:v>2</c:v>
                </c:pt>
                <c:pt idx="615">
                  <c:v>0</c:v>
                </c:pt>
                <c:pt idx="616">
                  <c:v>2</c:v>
                </c:pt>
                <c:pt idx="617">
                  <c:v>0</c:v>
                </c:pt>
                <c:pt idx="618">
                  <c:v>0</c:v>
                </c:pt>
                <c:pt idx="619">
                  <c:v>6</c:v>
                </c:pt>
                <c:pt idx="620">
                  <c:v>4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8</c:v>
                </c:pt>
                <c:pt idx="629">
                  <c:v>4</c:v>
                </c:pt>
                <c:pt idx="630">
                  <c:v>0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10</c:v>
                </c:pt>
                <c:pt idx="636">
                  <c:v>4</c:v>
                </c:pt>
                <c:pt idx="637">
                  <c:v>0</c:v>
                </c:pt>
                <c:pt idx="638">
                  <c:v>4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6</c:v>
                </c:pt>
                <c:pt idx="647">
                  <c:v>6</c:v>
                </c:pt>
                <c:pt idx="648">
                  <c:v>4</c:v>
                </c:pt>
              </c:numCache>
            </c:numRef>
          </c:xVal>
          <c:yVal>
            <c:numRef>
              <c:f>Student_Data!$AG$2:$AG$650</c:f>
              <c:numCache>
                <c:formatCode>General</c:formatCode>
                <c:ptCount val="649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17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12</c:v>
                </c:pt>
                <c:pt idx="20">
                  <c:v>14</c:v>
                </c:pt>
                <c:pt idx="21">
                  <c:v>12</c:v>
                </c:pt>
                <c:pt idx="22">
                  <c:v>14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12</c:v>
                </c:pt>
                <c:pt idx="27">
                  <c:v>11</c:v>
                </c:pt>
                <c:pt idx="28">
                  <c:v>13</c:v>
                </c:pt>
                <c:pt idx="29">
                  <c:v>12</c:v>
                </c:pt>
                <c:pt idx="30">
                  <c:v>11</c:v>
                </c:pt>
                <c:pt idx="31">
                  <c:v>15</c:v>
                </c:pt>
                <c:pt idx="32">
                  <c:v>15</c:v>
                </c:pt>
                <c:pt idx="33">
                  <c:v>12</c:v>
                </c:pt>
                <c:pt idx="34">
                  <c:v>12</c:v>
                </c:pt>
                <c:pt idx="35">
                  <c:v>11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10</c:v>
                </c:pt>
                <c:pt idx="41">
                  <c:v>11</c:v>
                </c:pt>
                <c:pt idx="42">
                  <c:v>15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13</c:v>
                </c:pt>
                <c:pt idx="47">
                  <c:v>17</c:v>
                </c:pt>
                <c:pt idx="48">
                  <c:v>13</c:v>
                </c:pt>
                <c:pt idx="49">
                  <c:v>12</c:v>
                </c:pt>
                <c:pt idx="50">
                  <c:v>13</c:v>
                </c:pt>
                <c:pt idx="51">
                  <c:v>16</c:v>
                </c:pt>
                <c:pt idx="52">
                  <c:v>9</c:v>
                </c:pt>
                <c:pt idx="53">
                  <c:v>12</c:v>
                </c:pt>
                <c:pt idx="54">
                  <c:v>13</c:v>
                </c:pt>
                <c:pt idx="55">
                  <c:v>12</c:v>
                </c:pt>
                <c:pt idx="56">
                  <c:v>15</c:v>
                </c:pt>
                <c:pt idx="57">
                  <c:v>16</c:v>
                </c:pt>
                <c:pt idx="58">
                  <c:v>14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10</c:v>
                </c:pt>
                <c:pt idx="63">
                  <c:v>13</c:v>
                </c:pt>
                <c:pt idx="64">
                  <c:v>12</c:v>
                </c:pt>
                <c:pt idx="65">
                  <c:v>16</c:v>
                </c:pt>
                <c:pt idx="66">
                  <c:v>12</c:v>
                </c:pt>
                <c:pt idx="67">
                  <c:v>10</c:v>
                </c:pt>
                <c:pt idx="68">
                  <c:v>11</c:v>
                </c:pt>
                <c:pt idx="69">
                  <c:v>15</c:v>
                </c:pt>
                <c:pt idx="70">
                  <c:v>11</c:v>
                </c:pt>
                <c:pt idx="71">
                  <c:v>10</c:v>
                </c:pt>
                <c:pt idx="72">
                  <c:v>11</c:v>
                </c:pt>
                <c:pt idx="73">
                  <c:v>14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13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9</c:v>
                </c:pt>
                <c:pt idx="82">
                  <c:v>11</c:v>
                </c:pt>
                <c:pt idx="83">
                  <c:v>13</c:v>
                </c:pt>
                <c:pt idx="84">
                  <c:v>12</c:v>
                </c:pt>
                <c:pt idx="85">
                  <c:v>12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10</c:v>
                </c:pt>
                <c:pt idx="90">
                  <c:v>11</c:v>
                </c:pt>
                <c:pt idx="91">
                  <c:v>13</c:v>
                </c:pt>
                <c:pt idx="92">
                  <c:v>12</c:v>
                </c:pt>
                <c:pt idx="93">
                  <c:v>14</c:v>
                </c:pt>
                <c:pt idx="94">
                  <c:v>12</c:v>
                </c:pt>
                <c:pt idx="95">
                  <c:v>13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13</c:v>
                </c:pt>
                <c:pt idx="100">
                  <c:v>8</c:v>
                </c:pt>
                <c:pt idx="101">
                  <c:v>16</c:v>
                </c:pt>
                <c:pt idx="102">
                  <c:v>12</c:v>
                </c:pt>
                <c:pt idx="103">
                  <c:v>10</c:v>
                </c:pt>
                <c:pt idx="104">
                  <c:v>16</c:v>
                </c:pt>
                <c:pt idx="105">
                  <c:v>10</c:v>
                </c:pt>
                <c:pt idx="106">
                  <c:v>10</c:v>
                </c:pt>
                <c:pt idx="107">
                  <c:v>14</c:v>
                </c:pt>
                <c:pt idx="108">
                  <c:v>11</c:v>
                </c:pt>
                <c:pt idx="109">
                  <c:v>14</c:v>
                </c:pt>
                <c:pt idx="110">
                  <c:v>14</c:v>
                </c:pt>
                <c:pt idx="111">
                  <c:v>11</c:v>
                </c:pt>
                <c:pt idx="112">
                  <c:v>10</c:v>
                </c:pt>
                <c:pt idx="113">
                  <c:v>18</c:v>
                </c:pt>
                <c:pt idx="114">
                  <c:v>10</c:v>
                </c:pt>
                <c:pt idx="115">
                  <c:v>14</c:v>
                </c:pt>
                <c:pt idx="116">
                  <c:v>16</c:v>
                </c:pt>
                <c:pt idx="117">
                  <c:v>15</c:v>
                </c:pt>
                <c:pt idx="118">
                  <c:v>11</c:v>
                </c:pt>
                <c:pt idx="119">
                  <c:v>14</c:v>
                </c:pt>
                <c:pt idx="120">
                  <c:v>14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9</c:v>
                </c:pt>
                <c:pt idx="126">
                  <c:v>11</c:v>
                </c:pt>
                <c:pt idx="127">
                  <c:v>11</c:v>
                </c:pt>
                <c:pt idx="128">
                  <c:v>15</c:v>
                </c:pt>
                <c:pt idx="129">
                  <c:v>13</c:v>
                </c:pt>
                <c:pt idx="130">
                  <c:v>12</c:v>
                </c:pt>
                <c:pt idx="131">
                  <c:v>8</c:v>
                </c:pt>
                <c:pt idx="132">
                  <c:v>11</c:v>
                </c:pt>
                <c:pt idx="133">
                  <c:v>13</c:v>
                </c:pt>
                <c:pt idx="134">
                  <c:v>12</c:v>
                </c:pt>
                <c:pt idx="135">
                  <c:v>14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15</c:v>
                </c:pt>
                <c:pt idx="140">
                  <c:v>10</c:v>
                </c:pt>
                <c:pt idx="141">
                  <c:v>13</c:v>
                </c:pt>
                <c:pt idx="142">
                  <c:v>12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10</c:v>
                </c:pt>
                <c:pt idx="147">
                  <c:v>14</c:v>
                </c:pt>
                <c:pt idx="148">
                  <c:v>9</c:v>
                </c:pt>
                <c:pt idx="149">
                  <c:v>11</c:v>
                </c:pt>
                <c:pt idx="150">
                  <c:v>9</c:v>
                </c:pt>
                <c:pt idx="151">
                  <c:v>13</c:v>
                </c:pt>
                <c:pt idx="152">
                  <c:v>11</c:v>
                </c:pt>
                <c:pt idx="153">
                  <c:v>13</c:v>
                </c:pt>
                <c:pt idx="154">
                  <c:v>11</c:v>
                </c:pt>
                <c:pt idx="155">
                  <c:v>6</c:v>
                </c:pt>
                <c:pt idx="156">
                  <c:v>12</c:v>
                </c:pt>
                <c:pt idx="157">
                  <c:v>10</c:v>
                </c:pt>
                <c:pt idx="158">
                  <c:v>11</c:v>
                </c:pt>
                <c:pt idx="159">
                  <c:v>13</c:v>
                </c:pt>
                <c:pt idx="160">
                  <c:v>11</c:v>
                </c:pt>
                <c:pt idx="161">
                  <c:v>8</c:v>
                </c:pt>
                <c:pt idx="162">
                  <c:v>11</c:v>
                </c:pt>
                <c:pt idx="163">
                  <c:v>0</c:v>
                </c:pt>
                <c:pt idx="164">
                  <c:v>10</c:v>
                </c:pt>
                <c:pt idx="165">
                  <c:v>13</c:v>
                </c:pt>
                <c:pt idx="166">
                  <c:v>11</c:v>
                </c:pt>
                <c:pt idx="167">
                  <c:v>13</c:v>
                </c:pt>
                <c:pt idx="168">
                  <c:v>8</c:v>
                </c:pt>
                <c:pt idx="169">
                  <c:v>10</c:v>
                </c:pt>
                <c:pt idx="170">
                  <c:v>11</c:v>
                </c:pt>
                <c:pt idx="171">
                  <c:v>11</c:v>
                </c:pt>
                <c:pt idx="172">
                  <c:v>1</c:v>
                </c:pt>
                <c:pt idx="173">
                  <c:v>10</c:v>
                </c:pt>
                <c:pt idx="174">
                  <c:v>9</c:v>
                </c:pt>
                <c:pt idx="175">
                  <c:v>8</c:v>
                </c:pt>
                <c:pt idx="176">
                  <c:v>10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11</c:v>
                </c:pt>
                <c:pt idx="181">
                  <c:v>18</c:v>
                </c:pt>
                <c:pt idx="182">
                  <c:v>13</c:v>
                </c:pt>
                <c:pt idx="183">
                  <c:v>17</c:v>
                </c:pt>
                <c:pt idx="184">
                  <c:v>10</c:v>
                </c:pt>
                <c:pt idx="185">
                  <c:v>18</c:v>
                </c:pt>
                <c:pt idx="186">
                  <c:v>10</c:v>
                </c:pt>
                <c:pt idx="187">
                  <c:v>13</c:v>
                </c:pt>
                <c:pt idx="188">
                  <c:v>15</c:v>
                </c:pt>
                <c:pt idx="189">
                  <c:v>11</c:v>
                </c:pt>
                <c:pt idx="190">
                  <c:v>14</c:v>
                </c:pt>
                <c:pt idx="191">
                  <c:v>10</c:v>
                </c:pt>
                <c:pt idx="192">
                  <c:v>11</c:v>
                </c:pt>
                <c:pt idx="193">
                  <c:v>13</c:v>
                </c:pt>
                <c:pt idx="194">
                  <c:v>11</c:v>
                </c:pt>
                <c:pt idx="195">
                  <c:v>13</c:v>
                </c:pt>
                <c:pt idx="196">
                  <c:v>17</c:v>
                </c:pt>
                <c:pt idx="197">
                  <c:v>14</c:v>
                </c:pt>
                <c:pt idx="198">
                  <c:v>16</c:v>
                </c:pt>
                <c:pt idx="199">
                  <c:v>14</c:v>
                </c:pt>
                <c:pt idx="200">
                  <c:v>11</c:v>
                </c:pt>
                <c:pt idx="201">
                  <c:v>16</c:v>
                </c:pt>
                <c:pt idx="202">
                  <c:v>14</c:v>
                </c:pt>
                <c:pt idx="203">
                  <c:v>10</c:v>
                </c:pt>
                <c:pt idx="204">
                  <c:v>13</c:v>
                </c:pt>
                <c:pt idx="205">
                  <c:v>12</c:v>
                </c:pt>
                <c:pt idx="206">
                  <c:v>12</c:v>
                </c:pt>
                <c:pt idx="207">
                  <c:v>10</c:v>
                </c:pt>
                <c:pt idx="208">
                  <c:v>12</c:v>
                </c:pt>
                <c:pt idx="209">
                  <c:v>16</c:v>
                </c:pt>
                <c:pt idx="210">
                  <c:v>14</c:v>
                </c:pt>
                <c:pt idx="211">
                  <c:v>12</c:v>
                </c:pt>
                <c:pt idx="212">
                  <c:v>16</c:v>
                </c:pt>
                <c:pt idx="213">
                  <c:v>11</c:v>
                </c:pt>
                <c:pt idx="214">
                  <c:v>15</c:v>
                </c:pt>
                <c:pt idx="215">
                  <c:v>12</c:v>
                </c:pt>
                <c:pt idx="216">
                  <c:v>15</c:v>
                </c:pt>
                <c:pt idx="217">
                  <c:v>13</c:v>
                </c:pt>
                <c:pt idx="218">
                  <c:v>13</c:v>
                </c:pt>
                <c:pt idx="219">
                  <c:v>8</c:v>
                </c:pt>
                <c:pt idx="220">
                  <c:v>12</c:v>
                </c:pt>
                <c:pt idx="221">
                  <c:v>15</c:v>
                </c:pt>
                <c:pt idx="222">
                  <c:v>13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11</c:v>
                </c:pt>
                <c:pt idx="228">
                  <c:v>11</c:v>
                </c:pt>
                <c:pt idx="229">
                  <c:v>15</c:v>
                </c:pt>
                <c:pt idx="230">
                  <c:v>10</c:v>
                </c:pt>
                <c:pt idx="231">
                  <c:v>10</c:v>
                </c:pt>
                <c:pt idx="232">
                  <c:v>13</c:v>
                </c:pt>
                <c:pt idx="233">
                  <c:v>13</c:v>
                </c:pt>
                <c:pt idx="234">
                  <c:v>11</c:v>
                </c:pt>
                <c:pt idx="235">
                  <c:v>12</c:v>
                </c:pt>
                <c:pt idx="236">
                  <c:v>14</c:v>
                </c:pt>
                <c:pt idx="237">
                  <c:v>10</c:v>
                </c:pt>
                <c:pt idx="238">
                  <c:v>16</c:v>
                </c:pt>
                <c:pt idx="239">
                  <c:v>8</c:v>
                </c:pt>
                <c:pt idx="240">
                  <c:v>17</c:v>
                </c:pt>
                <c:pt idx="241">
                  <c:v>11</c:v>
                </c:pt>
                <c:pt idx="242">
                  <c:v>11</c:v>
                </c:pt>
                <c:pt idx="243">
                  <c:v>16</c:v>
                </c:pt>
                <c:pt idx="244">
                  <c:v>12</c:v>
                </c:pt>
                <c:pt idx="245">
                  <c:v>13</c:v>
                </c:pt>
                <c:pt idx="246">
                  <c:v>13</c:v>
                </c:pt>
                <c:pt idx="247">
                  <c:v>14</c:v>
                </c:pt>
                <c:pt idx="248">
                  <c:v>9</c:v>
                </c:pt>
                <c:pt idx="249">
                  <c:v>12</c:v>
                </c:pt>
                <c:pt idx="250">
                  <c:v>16</c:v>
                </c:pt>
                <c:pt idx="251">
                  <c:v>10</c:v>
                </c:pt>
                <c:pt idx="252">
                  <c:v>13</c:v>
                </c:pt>
                <c:pt idx="253">
                  <c:v>10</c:v>
                </c:pt>
                <c:pt idx="254">
                  <c:v>10</c:v>
                </c:pt>
                <c:pt idx="255">
                  <c:v>7</c:v>
                </c:pt>
                <c:pt idx="256">
                  <c:v>8</c:v>
                </c:pt>
                <c:pt idx="257">
                  <c:v>9</c:v>
                </c:pt>
                <c:pt idx="258">
                  <c:v>15</c:v>
                </c:pt>
                <c:pt idx="259">
                  <c:v>10</c:v>
                </c:pt>
                <c:pt idx="260">
                  <c:v>11</c:v>
                </c:pt>
                <c:pt idx="261">
                  <c:v>13</c:v>
                </c:pt>
                <c:pt idx="262">
                  <c:v>8</c:v>
                </c:pt>
                <c:pt idx="263">
                  <c:v>8</c:v>
                </c:pt>
                <c:pt idx="264">
                  <c:v>10</c:v>
                </c:pt>
                <c:pt idx="265">
                  <c:v>15</c:v>
                </c:pt>
                <c:pt idx="266">
                  <c:v>14</c:v>
                </c:pt>
                <c:pt idx="267">
                  <c:v>15</c:v>
                </c:pt>
                <c:pt idx="268">
                  <c:v>12</c:v>
                </c:pt>
                <c:pt idx="269">
                  <c:v>15</c:v>
                </c:pt>
                <c:pt idx="270">
                  <c:v>15</c:v>
                </c:pt>
                <c:pt idx="271">
                  <c:v>12</c:v>
                </c:pt>
                <c:pt idx="272">
                  <c:v>15</c:v>
                </c:pt>
                <c:pt idx="273">
                  <c:v>11</c:v>
                </c:pt>
                <c:pt idx="274">
                  <c:v>10</c:v>
                </c:pt>
                <c:pt idx="275">
                  <c:v>11</c:v>
                </c:pt>
                <c:pt idx="276">
                  <c:v>16</c:v>
                </c:pt>
                <c:pt idx="277">
                  <c:v>11</c:v>
                </c:pt>
                <c:pt idx="278">
                  <c:v>13</c:v>
                </c:pt>
                <c:pt idx="279">
                  <c:v>5</c:v>
                </c:pt>
                <c:pt idx="280">
                  <c:v>10</c:v>
                </c:pt>
                <c:pt idx="281">
                  <c:v>11</c:v>
                </c:pt>
                <c:pt idx="282">
                  <c:v>7</c:v>
                </c:pt>
                <c:pt idx="283">
                  <c:v>10</c:v>
                </c:pt>
                <c:pt idx="284">
                  <c:v>6</c:v>
                </c:pt>
                <c:pt idx="285">
                  <c:v>12</c:v>
                </c:pt>
                <c:pt idx="286">
                  <c:v>13</c:v>
                </c:pt>
                <c:pt idx="287">
                  <c:v>10</c:v>
                </c:pt>
                <c:pt idx="288">
                  <c:v>13</c:v>
                </c:pt>
                <c:pt idx="289">
                  <c:v>17</c:v>
                </c:pt>
                <c:pt idx="290">
                  <c:v>11</c:v>
                </c:pt>
                <c:pt idx="291">
                  <c:v>11</c:v>
                </c:pt>
                <c:pt idx="292">
                  <c:v>14</c:v>
                </c:pt>
                <c:pt idx="293">
                  <c:v>14</c:v>
                </c:pt>
                <c:pt idx="294">
                  <c:v>13</c:v>
                </c:pt>
                <c:pt idx="295">
                  <c:v>14</c:v>
                </c:pt>
                <c:pt idx="296">
                  <c:v>16</c:v>
                </c:pt>
                <c:pt idx="297">
                  <c:v>10</c:v>
                </c:pt>
                <c:pt idx="298">
                  <c:v>12</c:v>
                </c:pt>
                <c:pt idx="299">
                  <c:v>12</c:v>
                </c:pt>
                <c:pt idx="300">
                  <c:v>15</c:v>
                </c:pt>
                <c:pt idx="301">
                  <c:v>11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9</c:v>
                </c:pt>
                <c:pt idx="306">
                  <c:v>16</c:v>
                </c:pt>
                <c:pt idx="307">
                  <c:v>14</c:v>
                </c:pt>
                <c:pt idx="308">
                  <c:v>12</c:v>
                </c:pt>
                <c:pt idx="309">
                  <c:v>14</c:v>
                </c:pt>
                <c:pt idx="310">
                  <c:v>10</c:v>
                </c:pt>
                <c:pt idx="311">
                  <c:v>12</c:v>
                </c:pt>
                <c:pt idx="312">
                  <c:v>16</c:v>
                </c:pt>
                <c:pt idx="313">
                  <c:v>13</c:v>
                </c:pt>
                <c:pt idx="314">
                  <c:v>18</c:v>
                </c:pt>
                <c:pt idx="315">
                  <c:v>15</c:v>
                </c:pt>
                <c:pt idx="316">
                  <c:v>16</c:v>
                </c:pt>
                <c:pt idx="317">
                  <c:v>12</c:v>
                </c:pt>
                <c:pt idx="318">
                  <c:v>10</c:v>
                </c:pt>
                <c:pt idx="319">
                  <c:v>12</c:v>
                </c:pt>
                <c:pt idx="320">
                  <c:v>13</c:v>
                </c:pt>
                <c:pt idx="321">
                  <c:v>15</c:v>
                </c:pt>
                <c:pt idx="322">
                  <c:v>10</c:v>
                </c:pt>
                <c:pt idx="323">
                  <c:v>10</c:v>
                </c:pt>
                <c:pt idx="324">
                  <c:v>11</c:v>
                </c:pt>
                <c:pt idx="325">
                  <c:v>10</c:v>
                </c:pt>
                <c:pt idx="326">
                  <c:v>13</c:v>
                </c:pt>
                <c:pt idx="327">
                  <c:v>18</c:v>
                </c:pt>
                <c:pt idx="328">
                  <c:v>13</c:v>
                </c:pt>
                <c:pt idx="329">
                  <c:v>14</c:v>
                </c:pt>
                <c:pt idx="330">
                  <c:v>14</c:v>
                </c:pt>
                <c:pt idx="331">
                  <c:v>12</c:v>
                </c:pt>
                <c:pt idx="332">
                  <c:v>18</c:v>
                </c:pt>
                <c:pt idx="333">
                  <c:v>14</c:v>
                </c:pt>
                <c:pt idx="334">
                  <c:v>15</c:v>
                </c:pt>
                <c:pt idx="335">
                  <c:v>17</c:v>
                </c:pt>
                <c:pt idx="336">
                  <c:v>16</c:v>
                </c:pt>
                <c:pt idx="337">
                  <c:v>18</c:v>
                </c:pt>
                <c:pt idx="338">
                  <c:v>19</c:v>
                </c:pt>
                <c:pt idx="339">
                  <c:v>15</c:v>
                </c:pt>
                <c:pt idx="340">
                  <c:v>15</c:v>
                </c:pt>
                <c:pt idx="341">
                  <c:v>13</c:v>
                </c:pt>
                <c:pt idx="342">
                  <c:v>14</c:v>
                </c:pt>
                <c:pt idx="343">
                  <c:v>17</c:v>
                </c:pt>
                <c:pt idx="344">
                  <c:v>17</c:v>
                </c:pt>
                <c:pt idx="345">
                  <c:v>15</c:v>
                </c:pt>
                <c:pt idx="346">
                  <c:v>13</c:v>
                </c:pt>
                <c:pt idx="347">
                  <c:v>8</c:v>
                </c:pt>
                <c:pt idx="348">
                  <c:v>16</c:v>
                </c:pt>
                <c:pt idx="349">
                  <c:v>18</c:v>
                </c:pt>
                <c:pt idx="350">
                  <c:v>11</c:v>
                </c:pt>
                <c:pt idx="351">
                  <c:v>15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14</c:v>
                </c:pt>
                <c:pt idx="356">
                  <c:v>17</c:v>
                </c:pt>
                <c:pt idx="357">
                  <c:v>17</c:v>
                </c:pt>
                <c:pt idx="358">
                  <c:v>15</c:v>
                </c:pt>
                <c:pt idx="359">
                  <c:v>17</c:v>
                </c:pt>
                <c:pt idx="360">
                  <c:v>14</c:v>
                </c:pt>
                <c:pt idx="361">
                  <c:v>10</c:v>
                </c:pt>
                <c:pt idx="362">
                  <c:v>13</c:v>
                </c:pt>
                <c:pt idx="363">
                  <c:v>14</c:v>
                </c:pt>
                <c:pt idx="364">
                  <c:v>17</c:v>
                </c:pt>
                <c:pt idx="365">
                  <c:v>17</c:v>
                </c:pt>
                <c:pt idx="366">
                  <c:v>13</c:v>
                </c:pt>
                <c:pt idx="367">
                  <c:v>14</c:v>
                </c:pt>
                <c:pt idx="368">
                  <c:v>11</c:v>
                </c:pt>
                <c:pt idx="369">
                  <c:v>11</c:v>
                </c:pt>
                <c:pt idx="370">
                  <c:v>9</c:v>
                </c:pt>
                <c:pt idx="371">
                  <c:v>10</c:v>
                </c:pt>
                <c:pt idx="372">
                  <c:v>13</c:v>
                </c:pt>
                <c:pt idx="373">
                  <c:v>10</c:v>
                </c:pt>
                <c:pt idx="374">
                  <c:v>17</c:v>
                </c:pt>
                <c:pt idx="375">
                  <c:v>15</c:v>
                </c:pt>
                <c:pt idx="376">
                  <c:v>14</c:v>
                </c:pt>
                <c:pt idx="377">
                  <c:v>13</c:v>
                </c:pt>
                <c:pt idx="378">
                  <c:v>17</c:v>
                </c:pt>
                <c:pt idx="379">
                  <c:v>10</c:v>
                </c:pt>
                <c:pt idx="380">
                  <c:v>13</c:v>
                </c:pt>
                <c:pt idx="381">
                  <c:v>15</c:v>
                </c:pt>
                <c:pt idx="382">
                  <c:v>11</c:v>
                </c:pt>
                <c:pt idx="383">
                  <c:v>12</c:v>
                </c:pt>
                <c:pt idx="384">
                  <c:v>10</c:v>
                </c:pt>
                <c:pt idx="385">
                  <c:v>10</c:v>
                </c:pt>
                <c:pt idx="386">
                  <c:v>15</c:v>
                </c:pt>
                <c:pt idx="387">
                  <c:v>15</c:v>
                </c:pt>
                <c:pt idx="388">
                  <c:v>12</c:v>
                </c:pt>
                <c:pt idx="389">
                  <c:v>12</c:v>
                </c:pt>
                <c:pt idx="390">
                  <c:v>14</c:v>
                </c:pt>
                <c:pt idx="391">
                  <c:v>14</c:v>
                </c:pt>
                <c:pt idx="392">
                  <c:v>15</c:v>
                </c:pt>
                <c:pt idx="393">
                  <c:v>15</c:v>
                </c:pt>
                <c:pt idx="394">
                  <c:v>16</c:v>
                </c:pt>
                <c:pt idx="395">
                  <c:v>13</c:v>
                </c:pt>
                <c:pt idx="396">
                  <c:v>17</c:v>
                </c:pt>
                <c:pt idx="397">
                  <c:v>14</c:v>
                </c:pt>
                <c:pt idx="398">
                  <c:v>14</c:v>
                </c:pt>
                <c:pt idx="399">
                  <c:v>17</c:v>
                </c:pt>
                <c:pt idx="400">
                  <c:v>17</c:v>
                </c:pt>
                <c:pt idx="401">
                  <c:v>14</c:v>
                </c:pt>
                <c:pt idx="402">
                  <c:v>13</c:v>
                </c:pt>
                <c:pt idx="403">
                  <c:v>15</c:v>
                </c:pt>
                <c:pt idx="404">
                  <c:v>16</c:v>
                </c:pt>
                <c:pt idx="405">
                  <c:v>11</c:v>
                </c:pt>
                <c:pt idx="406">
                  <c:v>13</c:v>
                </c:pt>
                <c:pt idx="407">
                  <c:v>12</c:v>
                </c:pt>
                <c:pt idx="408">
                  <c:v>12</c:v>
                </c:pt>
                <c:pt idx="409">
                  <c:v>15</c:v>
                </c:pt>
                <c:pt idx="410">
                  <c:v>17</c:v>
                </c:pt>
                <c:pt idx="411">
                  <c:v>15</c:v>
                </c:pt>
                <c:pt idx="412">
                  <c:v>17</c:v>
                </c:pt>
                <c:pt idx="413">
                  <c:v>10</c:v>
                </c:pt>
                <c:pt idx="414">
                  <c:v>15</c:v>
                </c:pt>
                <c:pt idx="415">
                  <c:v>11</c:v>
                </c:pt>
                <c:pt idx="416">
                  <c:v>18</c:v>
                </c:pt>
                <c:pt idx="417">
                  <c:v>17</c:v>
                </c:pt>
                <c:pt idx="418">
                  <c:v>14</c:v>
                </c:pt>
                <c:pt idx="419">
                  <c:v>11</c:v>
                </c:pt>
                <c:pt idx="420">
                  <c:v>17</c:v>
                </c:pt>
                <c:pt idx="421">
                  <c:v>10</c:v>
                </c:pt>
                <c:pt idx="422">
                  <c:v>13</c:v>
                </c:pt>
                <c:pt idx="423">
                  <c:v>11</c:v>
                </c:pt>
                <c:pt idx="424">
                  <c:v>12</c:v>
                </c:pt>
                <c:pt idx="425">
                  <c:v>10</c:v>
                </c:pt>
                <c:pt idx="426">
                  <c:v>11</c:v>
                </c:pt>
                <c:pt idx="427">
                  <c:v>17</c:v>
                </c:pt>
                <c:pt idx="428">
                  <c:v>9</c:v>
                </c:pt>
                <c:pt idx="429">
                  <c:v>11</c:v>
                </c:pt>
                <c:pt idx="430">
                  <c:v>11</c:v>
                </c:pt>
                <c:pt idx="431">
                  <c:v>10</c:v>
                </c:pt>
                <c:pt idx="432">
                  <c:v>7</c:v>
                </c:pt>
                <c:pt idx="433">
                  <c:v>14</c:v>
                </c:pt>
                <c:pt idx="434">
                  <c:v>11</c:v>
                </c:pt>
                <c:pt idx="435">
                  <c:v>10</c:v>
                </c:pt>
                <c:pt idx="436">
                  <c:v>8</c:v>
                </c:pt>
                <c:pt idx="437">
                  <c:v>12</c:v>
                </c:pt>
                <c:pt idx="438">
                  <c:v>12</c:v>
                </c:pt>
                <c:pt idx="439">
                  <c:v>16</c:v>
                </c:pt>
                <c:pt idx="440">
                  <c:v>0</c:v>
                </c:pt>
                <c:pt idx="441">
                  <c:v>9</c:v>
                </c:pt>
                <c:pt idx="442">
                  <c:v>14</c:v>
                </c:pt>
                <c:pt idx="443">
                  <c:v>8</c:v>
                </c:pt>
                <c:pt idx="444">
                  <c:v>11</c:v>
                </c:pt>
                <c:pt idx="445">
                  <c:v>9</c:v>
                </c:pt>
                <c:pt idx="446">
                  <c:v>11</c:v>
                </c:pt>
                <c:pt idx="447">
                  <c:v>9</c:v>
                </c:pt>
                <c:pt idx="448">
                  <c:v>17</c:v>
                </c:pt>
                <c:pt idx="449">
                  <c:v>13</c:v>
                </c:pt>
                <c:pt idx="450">
                  <c:v>15</c:v>
                </c:pt>
                <c:pt idx="451">
                  <c:v>11</c:v>
                </c:pt>
                <c:pt idx="452">
                  <c:v>11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15</c:v>
                </c:pt>
                <c:pt idx="457">
                  <c:v>11</c:v>
                </c:pt>
                <c:pt idx="458">
                  <c:v>13</c:v>
                </c:pt>
                <c:pt idx="459">
                  <c:v>10</c:v>
                </c:pt>
                <c:pt idx="460">
                  <c:v>11</c:v>
                </c:pt>
                <c:pt idx="461">
                  <c:v>14</c:v>
                </c:pt>
                <c:pt idx="462">
                  <c:v>14</c:v>
                </c:pt>
                <c:pt idx="463">
                  <c:v>12</c:v>
                </c:pt>
                <c:pt idx="464">
                  <c:v>11</c:v>
                </c:pt>
                <c:pt idx="465">
                  <c:v>8</c:v>
                </c:pt>
                <c:pt idx="466">
                  <c:v>11</c:v>
                </c:pt>
                <c:pt idx="467">
                  <c:v>14</c:v>
                </c:pt>
                <c:pt idx="468">
                  <c:v>13</c:v>
                </c:pt>
                <c:pt idx="469">
                  <c:v>13</c:v>
                </c:pt>
                <c:pt idx="470">
                  <c:v>12</c:v>
                </c:pt>
                <c:pt idx="471">
                  <c:v>12</c:v>
                </c:pt>
                <c:pt idx="472">
                  <c:v>16</c:v>
                </c:pt>
                <c:pt idx="473">
                  <c:v>10</c:v>
                </c:pt>
                <c:pt idx="474">
                  <c:v>11</c:v>
                </c:pt>
                <c:pt idx="475">
                  <c:v>14</c:v>
                </c:pt>
                <c:pt idx="476">
                  <c:v>8</c:v>
                </c:pt>
                <c:pt idx="477">
                  <c:v>11</c:v>
                </c:pt>
                <c:pt idx="478">
                  <c:v>8</c:v>
                </c:pt>
                <c:pt idx="479">
                  <c:v>10</c:v>
                </c:pt>
                <c:pt idx="480">
                  <c:v>10</c:v>
                </c:pt>
                <c:pt idx="481">
                  <c:v>11</c:v>
                </c:pt>
                <c:pt idx="482">
                  <c:v>9</c:v>
                </c:pt>
                <c:pt idx="483">
                  <c:v>11</c:v>
                </c:pt>
                <c:pt idx="484">
                  <c:v>8</c:v>
                </c:pt>
                <c:pt idx="485">
                  <c:v>11</c:v>
                </c:pt>
                <c:pt idx="486">
                  <c:v>10</c:v>
                </c:pt>
                <c:pt idx="487">
                  <c:v>10</c:v>
                </c:pt>
                <c:pt idx="488">
                  <c:v>9</c:v>
                </c:pt>
                <c:pt idx="489">
                  <c:v>10</c:v>
                </c:pt>
                <c:pt idx="490">
                  <c:v>10</c:v>
                </c:pt>
                <c:pt idx="491">
                  <c:v>9</c:v>
                </c:pt>
                <c:pt idx="492">
                  <c:v>10</c:v>
                </c:pt>
                <c:pt idx="493">
                  <c:v>10</c:v>
                </c:pt>
                <c:pt idx="494">
                  <c:v>9</c:v>
                </c:pt>
                <c:pt idx="495">
                  <c:v>13</c:v>
                </c:pt>
                <c:pt idx="496">
                  <c:v>14</c:v>
                </c:pt>
                <c:pt idx="497">
                  <c:v>10</c:v>
                </c:pt>
                <c:pt idx="498">
                  <c:v>14</c:v>
                </c:pt>
                <c:pt idx="499">
                  <c:v>16</c:v>
                </c:pt>
                <c:pt idx="500">
                  <c:v>7</c:v>
                </c:pt>
                <c:pt idx="501">
                  <c:v>13</c:v>
                </c:pt>
                <c:pt idx="502">
                  <c:v>9</c:v>
                </c:pt>
                <c:pt idx="503">
                  <c:v>14</c:v>
                </c:pt>
                <c:pt idx="504">
                  <c:v>13</c:v>
                </c:pt>
                <c:pt idx="505">
                  <c:v>11</c:v>
                </c:pt>
                <c:pt idx="506">
                  <c:v>10</c:v>
                </c:pt>
                <c:pt idx="507">
                  <c:v>10</c:v>
                </c:pt>
                <c:pt idx="508">
                  <c:v>9</c:v>
                </c:pt>
                <c:pt idx="509">
                  <c:v>18</c:v>
                </c:pt>
                <c:pt idx="510">
                  <c:v>17</c:v>
                </c:pt>
                <c:pt idx="511">
                  <c:v>10</c:v>
                </c:pt>
                <c:pt idx="512">
                  <c:v>7</c:v>
                </c:pt>
                <c:pt idx="513">
                  <c:v>8</c:v>
                </c:pt>
                <c:pt idx="514">
                  <c:v>7</c:v>
                </c:pt>
                <c:pt idx="515">
                  <c:v>10</c:v>
                </c:pt>
                <c:pt idx="516">
                  <c:v>16</c:v>
                </c:pt>
                <c:pt idx="517">
                  <c:v>15</c:v>
                </c:pt>
                <c:pt idx="518">
                  <c:v>8</c:v>
                </c:pt>
                <c:pt idx="519">
                  <c:v>0</c:v>
                </c:pt>
                <c:pt idx="520">
                  <c:v>8</c:v>
                </c:pt>
                <c:pt idx="521">
                  <c:v>10</c:v>
                </c:pt>
                <c:pt idx="522">
                  <c:v>8</c:v>
                </c:pt>
                <c:pt idx="523">
                  <c:v>6</c:v>
                </c:pt>
                <c:pt idx="524">
                  <c:v>8</c:v>
                </c:pt>
                <c:pt idx="525">
                  <c:v>16</c:v>
                </c:pt>
                <c:pt idx="526">
                  <c:v>14</c:v>
                </c:pt>
                <c:pt idx="527">
                  <c:v>10</c:v>
                </c:pt>
                <c:pt idx="528">
                  <c:v>9</c:v>
                </c:pt>
                <c:pt idx="529">
                  <c:v>11</c:v>
                </c:pt>
                <c:pt idx="530">
                  <c:v>9</c:v>
                </c:pt>
                <c:pt idx="531">
                  <c:v>10</c:v>
                </c:pt>
                <c:pt idx="532">
                  <c:v>8</c:v>
                </c:pt>
                <c:pt idx="533">
                  <c:v>16</c:v>
                </c:pt>
                <c:pt idx="534">
                  <c:v>12</c:v>
                </c:pt>
                <c:pt idx="535">
                  <c:v>10</c:v>
                </c:pt>
                <c:pt idx="536">
                  <c:v>14</c:v>
                </c:pt>
                <c:pt idx="537">
                  <c:v>12</c:v>
                </c:pt>
                <c:pt idx="538">
                  <c:v>11</c:v>
                </c:pt>
                <c:pt idx="539">
                  <c:v>10</c:v>
                </c:pt>
                <c:pt idx="540">
                  <c:v>11</c:v>
                </c:pt>
                <c:pt idx="541">
                  <c:v>11</c:v>
                </c:pt>
                <c:pt idx="542">
                  <c:v>12</c:v>
                </c:pt>
                <c:pt idx="543">
                  <c:v>8</c:v>
                </c:pt>
                <c:pt idx="544">
                  <c:v>12</c:v>
                </c:pt>
                <c:pt idx="545">
                  <c:v>8</c:v>
                </c:pt>
                <c:pt idx="546">
                  <c:v>16</c:v>
                </c:pt>
                <c:pt idx="547">
                  <c:v>11</c:v>
                </c:pt>
                <c:pt idx="548">
                  <c:v>11</c:v>
                </c:pt>
                <c:pt idx="549">
                  <c:v>18</c:v>
                </c:pt>
                <c:pt idx="550">
                  <c:v>13</c:v>
                </c:pt>
                <c:pt idx="551">
                  <c:v>13</c:v>
                </c:pt>
                <c:pt idx="552">
                  <c:v>10</c:v>
                </c:pt>
                <c:pt idx="553">
                  <c:v>12</c:v>
                </c:pt>
                <c:pt idx="554">
                  <c:v>10</c:v>
                </c:pt>
                <c:pt idx="555">
                  <c:v>13</c:v>
                </c:pt>
                <c:pt idx="556">
                  <c:v>11</c:v>
                </c:pt>
                <c:pt idx="557">
                  <c:v>10</c:v>
                </c:pt>
                <c:pt idx="558">
                  <c:v>10</c:v>
                </c:pt>
                <c:pt idx="559">
                  <c:v>13</c:v>
                </c:pt>
                <c:pt idx="560">
                  <c:v>10</c:v>
                </c:pt>
                <c:pt idx="561">
                  <c:v>10</c:v>
                </c:pt>
                <c:pt idx="562">
                  <c:v>12</c:v>
                </c:pt>
                <c:pt idx="563">
                  <c:v>0</c:v>
                </c:pt>
                <c:pt idx="564">
                  <c:v>10</c:v>
                </c:pt>
                <c:pt idx="565">
                  <c:v>9</c:v>
                </c:pt>
                <c:pt idx="566">
                  <c:v>9</c:v>
                </c:pt>
                <c:pt idx="567">
                  <c:v>0</c:v>
                </c:pt>
                <c:pt idx="568">
                  <c:v>9</c:v>
                </c:pt>
                <c:pt idx="569">
                  <c:v>8</c:v>
                </c:pt>
                <c:pt idx="570">
                  <c:v>8</c:v>
                </c:pt>
                <c:pt idx="571">
                  <c:v>9</c:v>
                </c:pt>
                <c:pt idx="572">
                  <c:v>7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11</c:v>
                </c:pt>
                <c:pt idx="577">
                  <c:v>11</c:v>
                </c:pt>
                <c:pt idx="578">
                  <c:v>10</c:v>
                </c:pt>
                <c:pt idx="579">
                  <c:v>9</c:v>
                </c:pt>
                <c:pt idx="580">
                  <c:v>10</c:v>
                </c:pt>
                <c:pt idx="581">
                  <c:v>8</c:v>
                </c:pt>
                <c:pt idx="582">
                  <c:v>7</c:v>
                </c:pt>
                <c:pt idx="583">
                  <c:v>0</c:v>
                </c:pt>
                <c:pt idx="584">
                  <c:v>11</c:v>
                </c:pt>
                <c:pt idx="585">
                  <c:v>8</c:v>
                </c:pt>
                <c:pt idx="586">
                  <c:v>0</c:v>
                </c:pt>
                <c:pt idx="587">
                  <c:v>8</c:v>
                </c:pt>
                <c:pt idx="588">
                  <c:v>9</c:v>
                </c:pt>
                <c:pt idx="589">
                  <c:v>10</c:v>
                </c:pt>
                <c:pt idx="590">
                  <c:v>7</c:v>
                </c:pt>
                <c:pt idx="591">
                  <c:v>14</c:v>
                </c:pt>
                <c:pt idx="592">
                  <c:v>13</c:v>
                </c:pt>
                <c:pt idx="593">
                  <c:v>14</c:v>
                </c:pt>
                <c:pt idx="594">
                  <c:v>18</c:v>
                </c:pt>
                <c:pt idx="595">
                  <c:v>17</c:v>
                </c:pt>
                <c:pt idx="596">
                  <c:v>18</c:v>
                </c:pt>
                <c:pt idx="597">
                  <c:v>0</c:v>
                </c:pt>
                <c:pt idx="598">
                  <c:v>11</c:v>
                </c:pt>
                <c:pt idx="599">
                  <c:v>14</c:v>
                </c:pt>
                <c:pt idx="600">
                  <c:v>14</c:v>
                </c:pt>
                <c:pt idx="601">
                  <c:v>10</c:v>
                </c:pt>
                <c:pt idx="602">
                  <c:v>13</c:v>
                </c:pt>
                <c:pt idx="603">
                  <c:v>0</c:v>
                </c:pt>
                <c:pt idx="604">
                  <c:v>10</c:v>
                </c:pt>
                <c:pt idx="605">
                  <c:v>0</c:v>
                </c:pt>
                <c:pt idx="606">
                  <c:v>18</c:v>
                </c:pt>
                <c:pt idx="607">
                  <c:v>12</c:v>
                </c:pt>
                <c:pt idx="608">
                  <c:v>11</c:v>
                </c:pt>
                <c:pt idx="609">
                  <c:v>12</c:v>
                </c:pt>
                <c:pt idx="610">
                  <c:v>0</c:v>
                </c:pt>
                <c:pt idx="611">
                  <c:v>15</c:v>
                </c:pt>
                <c:pt idx="612">
                  <c:v>11</c:v>
                </c:pt>
                <c:pt idx="613">
                  <c:v>10</c:v>
                </c:pt>
                <c:pt idx="614">
                  <c:v>12</c:v>
                </c:pt>
                <c:pt idx="615">
                  <c:v>15</c:v>
                </c:pt>
                <c:pt idx="616">
                  <c:v>14</c:v>
                </c:pt>
                <c:pt idx="617">
                  <c:v>18</c:v>
                </c:pt>
                <c:pt idx="618">
                  <c:v>15</c:v>
                </c:pt>
                <c:pt idx="619">
                  <c:v>13</c:v>
                </c:pt>
                <c:pt idx="620">
                  <c:v>15</c:v>
                </c:pt>
                <c:pt idx="621">
                  <c:v>13</c:v>
                </c:pt>
                <c:pt idx="622">
                  <c:v>9</c:v>
                </c:pt>
                <c:pt idx="623">
                  <c:v>16</c:v>
                </c:pt>
                <c:pt idx="624">
                  <c:v>9</c:v>
                </c:pt>
                <c:pt idx="625">
                  <c:v>10</c:v>
                </c:pt>
                <c:pt idx="626">
                  <c:v>0</c:v>
                </c:pt>
                <c:pt idx="627">
                  <c:v>10</c:v>
                </c:pt>
                <c:pt idx="628">
                  <c:v>12</c:v>
                </c:pt>
                <c:pt idx="629">
                  <c:v>9</c:v>
                </c:pt>
                <c:pt idx="630">
                  <c:v>17</c:v>
                </c:pt>
                <c:pt idx="631">
                  <c:v>12</c:v>
                </c:pt>
                <c:pt idx="632">
                  <c:v>9</c:v>
                </c:pt>
                <c:pt idx="633">
                  <c:v>14</c:v>
                </c:pt>
                <c:pt idx="634">
                  <c:v>16</c:v>
                </c:pt>
                <c:pt idx="635">
                  <c:v>9</c:v>
                </c:pt>
                <c:pt idx="636">
                  <c:v>19</c:v>
                </c:pt>
                <c:pt idx="637">
                  <c:v>0</c:v>
                </c:pt>
                <c:pt idx="638">
                  <c:v>16</c:v>
                </c:pt>
                <c:pt idx="639">
                  <c:v>0</c:v>
                </c:pt>
                <c:pt idx="640">
                  <c:v>0</c:v>
                </c:pt>
                <c:pt idx="641">
                  <c:v>15</c:v>
                </c:pt>
                <c:pt idx="642">
                  <c:v>11</c:v>
                </c:pt>
                <c:pt idx="643">
                  <c:v>10</c:v>
                </c:pt>
                <c:pt idx="644">
                  <c:v>10</c:v>
                </c:pt>
                <c:pt idx="645">
                  <c:v>16</c:v>
                </c:pt>
                <c:pt idx="646">
                  <c:v>9</c:v>
                </c:pt>
                <c:pt idx="647">
                  <c:v>10</c:v>
                </c:pt>
                <c:pt idx="64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4-4661-9195-AA85CAA64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35631"/>
        <c:axId val="895243951"/>
      </c:scatterChart>
      <c:valAx>
        <c:axId val="8952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43951"/>
        <c:crosses val="autoZero"/>
        <c:crossBetween val="midCat"/>
      </c:valAx>
      <c:valAx>
        <c:axId val="8952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Past</a:t>
            </a:r>
            <a:r>
              <a:rPr lang="en-US" baseline="0"/>
              <a:t> Failure vs Final Grade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Student_Data!$AG$1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Student_Data!$O$2:$O$650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</c:v>
                </c:pt>
                <c:pt idx="170">
                  <c:v>3</c:v>
                </c:pt>
                <c:pt idx="171">
                  <c:v>0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2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0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2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3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2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</c:v>
                </c:pt>
                <c:pt idx="558">
                  <c:v>0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3</c:v>
                </c:pt>
                <c:pt idx="569">
                  <c:v>2</c:v>
                </c:pt>
                <c:pt idx="570">
                  <c:v>0</c:v>
                </c:pt>
                <c:pt idx="571">
                  <c:v>3</c:v>
                </c:pt>
                <c:pt idx="572">
                  <c:v>2</c:v>
                </c:pt>
                <c:pt idx="573">
                  <c:v>0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2</c:v>
                </c:pt>
                <c:pt idx="582">
                  <c:v>0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2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3</c:v>
                </c:pt>
                <c:pt idx="611">
                  <c:v>0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</c:numCache>
            </c:numRef>
          </c:xVal>
          <c:yVal>
            <c:numRef>
              <c:f>Student_Data!$AG$2:$AG$650</c:f>
              <c:numCache>
                <c:formatCode>General</c:formatCode>
                <c:ptCount val="649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17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  <c:pt idx="19">
                  <c:v>12</c:v>
                </c:pt>
                <c:pt idx="20">
                  <c:v>14</c:v>
                </c:pt>
                <c:pt idx="21">
                  <c:v>12</c:v>
                </c:pt>
                <c:pt idx="22">
                  <c:v>14</c:v>
                </c:pt>
                <c:pt idx="23">
                  <c:v>10</c:v>
                </c:pt>
                <c:pt idx="24">
                  <c:v>10</c:v>
                </c:pt>
                <c:pt idx="25">
                  <c:v>12</c:v>
                </c:pt>
                <c:pt idx="26">
                  <c:v>12</c:v>
                </c:pt>
                <c:pt idx="27">
                  <c:v>11</c:v>
                </c:pt>
                <c:pt idx="28">
                  <c:v>13</c:v>
                </c:pt>
                <c:pt idx="29">
                  <c:v>12</c:v>
                </c:pt>
                <c:pt idx="30">
                  <c:v>11</c:v>
                </c:pt>
                <c:pt idx="31">
                  <c:v>15</c:v>
                </c:pt>
                <c:pt idx="32">
                  <c:v>15</c:v>
                </c:pt>
                <c:pt idx="33">
                  <c:v>12</c:v>
                </c:pt>
                <c:pt idx="34">
                  <c:v>12</c:v>
                </c:pt>
                <c:pt idx="35">
                  <c:v>11</c:v>
                </c:pt>
                <c:pt idx="36">
                  <c:v>14</c:v>
                </c:pt>
                <c:pt idx="37">
                  <c:v>13</c:v>
                </c:pt>
                <c:pt idx="38">
                  <c:v>12</c:v>
                </c:pt>
                <c:pt idx="39">
                  <c:v>12</c:v>
                </c:pt>
                <c:pt idx="40">
                  <c:v>10</c:v>
                </c:pt>
                <c:pt idx="41">
                  <c:v>11</c:v>
                </c:pt>
                <c:pt idx="42">
                  <c:v>15</c:v>
                </c:pt>
                <c:pt idx="43">
                  <c:v>10</c:v>
                </c:pt>
                <c:pt idx="44">
                  <c:v>11</c:v>
                </c:pt>
                <c:pt idx="45">
                  <c:v>11</c:v>
                </c:pt>
                <c:pt idx="46">
                  <c:v>13</c:v>
                </c:pt>
                <c:pt idx="47">
                  <c:v>17</c:v>
                </c:pt>
                <c:pt idx="48">
                  <c:v>13</c:v>
                </c:pt>
                <c:pt idx="49">
                  <c:v>12</c:v>
                </c:pt>
                <c:pt idx="50">
                  <c:v>13</c:v>
                </c:pt>
                <c:pt idx="51">
                  <c:v>16</c:v>
                </c:pt>
                <c:pt idx="52">
                  <c:v>9</c:v>
                </c:pt>
                <c:pt idx="53">
                  <c:v>12</c:v>
                </c:pt>
                <c:pt idx="54">
                  <c:v>13</c:v>
                </c:pt>
                <c:pt idx="55">
                  <c:v>12</c:v>
                </c:pt>
                <c:pt idx="56">
                  <c:v>15</c:v>
                </c:pt>
                <c:pt idx="57">
                  <c:v>16</c:v>
                </c:pt>
                <c:pt idx="58">
                  <c:v>14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10</c:v>
                </c:pt>
                <c:pt idx="63">
                  <c:v>13</c:v>
                </c:pt>
                <c:pt idx="64">
                  <c:v>12</c:v>
                </c:pt>
                <c:pt idx="65">
                  <c:v>16</c:v>
                </c:pt>
                <c:pt idx="66">
                  <c:v>12</c:v>
                </c:pt>
                <c:pt idx="67">
                  <c:v>10</c:v>
                </c:pt>
                <c:pt idx="68">
                  <c:v>11</c:v>
                </c:pt>
                <c:pt idx="69">
                  <c:v>15</c:v>
                </c:pt>
                <c:pt idx="70">
                  <c:v>11</c:v>
                </c:pt>
                <c:pt idx="71">
                  <c:v>10</c:v>
                </c:pt>
                <c:pt idx="72">
                  <c:v>11</c:v>
                </c:pt>
                <c:pt idx="73">
                  <c:v>14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13</c:v>
                </c:pt>
                <c:pt idx="78">
                  <c:v>10</c:v>
                </c:pt>
                <c:pt idx="79">
                  <c:v>11</c:v>
                </c:pt>
                <c:pt idx="80">
                  <c:v>12</c:v>
                </c:pt>
                <c:pt idx="81">
                  <c:v>9</c:v>
                </c:pt>
                <c:pt idx="82">
                  <c:v>11</c:v>
                </c:pt>
                <c:pt idx="83">
                  <c:v>13</c:v>
                </c:pt>
                <c:pt idx="84">
                  <c:v>12</c:v>
                </c:pt>
                <c:pt idx="85">
                  <c:v>12</c:v>
                </c:pt>
                <c:pt idx="86">
                  <c:v>11</c:v>
                </c:pt>
                <c:pt idx="87">
                  <c:v>15</c:v>
                </c:pt>
                <c:pt idx="88">
                  <c:v>11</c:v>
                </c:pt>
                <c:pt idx="89">
                  <c:v>10</c:v>
                </c:pt>
                <c:pt idx="90">
                  <c:v>11</c:v>
                </c:pt>
                <c:pt idx="91">
                  <c:v>13</c:v>
                </c:pt>
                <c:pt idx="92">
                  <c:v>12</c:v>
                </c:pt>
                <c:pt idx="93">
                  <c:v>14</c:v>
                </c:pt>
                <c:pt idx="94">
                  <c:v>12</c:v>
                </c:pt>
                <c:pt idx="95">
                  <c:v>13</c:v>
                </c:pt>
                <c:pt idx="96">
                  <c:v>11</c:v>
                </c:pt>
                <c:pt idx="97">
                  <c:v>12</c:v>
                </c:pt>
                <c:pt idx="98">
                  <c:v>13</c:v>
                </c:pt>
                <c:pt idx="99">
                  <c:v>13</c:v>
                </c:pt>
                <c:pt idx="100">
                  <c:v>8</c:v>
                </c:pt>
                <c:pt idx="101">
                  <c:v>16</c:v>
                </c:pt>
                <c:pt idx="102">
                  <c:v>12</c:v>
                </c:pt>
                <c:pt idx="103">
                  <c:v>10</c:v>
                </c:pt>
                <c:pt idx="104">
                  <c:v>16</c:v>
                </c:pt>
                <c:pt idx="105">
                  <c:v>10</c:v>
                </c:pt>
                <c:pt idx="106">
                  <c:v>10</c:v>
                </c:pt>
                <c:pt idx="107">
                  <c:v>14</c:v>
                </c:pt>
                <c:pt idx="108">
                  <c:v>11</c:v>
                </c:pt>
                <c:pt idx="109">
                  <c:v>14</c:v>
                </c:pt>
                <c:pt idx="110">
                  <c:v>14</c:v>
                </c:pt>
                <c:pt idx="111">
                  <c:v>11</c:v>
                </c:pt>
                <c:pt idx="112">
                  <c:v>10</c:v>
                </c:pt>
                <c:pt idx="113">
                  <c:v>18</c:v>
                </c:pt>
                <c:pt idx="114">
                  <c:v>10</c:v>
                </c:pt>
                <c:pt idx="115">
                  <c:v>14</c:v>
                </c:pt>
                <c:pt idx="116">
                  <c:v>16</c:v>
                </c:pt>
                <c:pt idx="117">
                  <c:v>15</c:v>
                </c:pt>
                <c:pt idx="118">
                  <c:v>11</c:v>
                </c:pt>
                <c:pt idx="119">
                  <c:v>14</c:v>
                </c:pt>
                <c:pt idx="120">
                  <c:v>14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11</c:v>
                </c:pt>
                <c:pt idx="125">
                  <c:v>9</c:v>
                </c:pt>
                <c:pt idx="126">
                  <c:v>11</c:v>
                </c:pt>
                <c:pt idx="127">
                  <c:v>11</c:v>
                </c:pt>
                <c:pt idx="128">
                  <c:v>15</c:v>
                </c:pt>
                <c:pt idx="129">
                  <c:v>13</c:v>
                </c:pt>
                <c:pt idx="130">
                  <c:v>12</c:v>
                </c:pt>
                <c:pt idx="131">
                  <c:v>8</c:v>
                </c:pt>
                <c:pt idx="132">
                  <c:v>11</c:v>
                </c:pt>
                <c:pt idx="133">
                  <c:v>13</c:v>
                </c:pt>
                <c:pt idx="134">
                  <c:v>12</c:v>
                </c:pt>
                <c:pt idx="135">
                  <c:v>14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15</c:v>
                </c:pt>
                <c:pt idx="140">
                  <c:v>10</c:v>
                </c:pt>
                <c:pt idx="141">
                  <c:v>13</c:v>
                </c:pt>
                <c:pt idx="142">
                  <c:v>12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10</c:v>
                </c:pt>
                <c:pt idx="147">
                  <c:v>14</c:v>
                </c:pt>
                <c:pt idx="148">
                  <c:v>9</c:v>
                </c:pt>
                <c:pt idx="149">
                  <c:v>11</c:v>
                </c:pt>
                <c:pt idx="150">
                  <c:v>9</c:v>
                </c:pt>
                <c:pt idx="151">
                  <c:v>13</c:v>
                </c:pt>
                <c:pt idx="152">
                  <c:v>11</c:v>
                </c:pt>
                <c:pt idx="153">
                  <c:v>13</c:v>
                </c:pt>
                <c:pt idx="154">
                  <c:v>11</c:v>
                </c:pt>
                <c:pt idx="155">
                  <c:v>6</c:v>
                </c:pt>
                <c:pt idx="156">
                  <c:v>12</c:v>
                </c:pt>
                <c:pt idx="157">
                  <c:v>10</c:v>
                </c:pt>
                <c:pt idx="158">
                  <c:v>11</c:v>
                </c:pt>
                <c:pt idx="159">
                  <c:v>13</c:v>
                </c:pt>
                <c:pt idx="160">
                  <c:v>11</c:v>
                </c:pt>
                <c:pt idx="161">
                  <c:v>8</c:v>
                </c:pt>
                <c:pt idx="162">
                  <c:v>11</c:v>
                </c:pt>
                <c:pt idx="163">
                  <c:v>0</c:v>
                </c:pt>
                <c:pt idx="164">
                  <c:v>10</c:v>
                </c:pt>
                <c:pt idx="165">
                  <c:v>13</c:v>
                </c:pt>
                <c:pt idx="166">
                  <c:v>11</c:v>
                </c:pt>
                <c:pt idx="167">
                  <c:v>13</c:v>
                </c:pt>
                <c:pt idx="168">
                  <c:v>8</c:v>
                </c:pt>
                <c:pt idx="169">
                  <c:v>10</c:v>
                </c:pt>
                <c:pt idx="170">
                  <c:v>11</c:v>
                </c:pt>
                <c:pt idx="171">
                  <c:v>11</c:v>
                </c:pt>
                <c:pt idx="172">
                  <c:v>1</c:v>
                </c:pt>
                <c:pt idx="173">
                  <c:v>10</c:v>
                </c:pt>
                <c:pt idx="174">
                  <c:v>9</c:v>
                </c:pt>
                <c:pt idx="175">
                  <c:v>8</c:v>
                </c:pt>
                <c:pt idx="176">
                  <c:v>10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11</c:v>
                </c:pt>
                <c:pt idx="181">
                  <c:v>18</c:v>
                </c:pt>
                <c:pt idx="182">
                  <c:v>13</c:v>
                </c:pt>
                <c:pt idx="183">
                  <c:v>17</c:v>
                </c:pt>
                <c:pt idx="184">
                  <c:v>10</c:v>
                </c:pt>
                <c:pt idx="185">
                  <c:v>18</c:v>
                </c:pt>
                <c:pt idx="186">
                  <c:v>10</c:v>
                </c:pt>
                <c:pt idx="187">
                  <c:v>13</c:v>
                </c:pt>
                <c:pt idx="188">
                  <c:v>15</c:v>
                </c:pt>
                <c:pt idx="189">
                  <c:v>11</c:v>
                </c:pt>
                <c:pt idx="190">
                  <c:v>14</c:v>
                </c:pt>
                <c:pt idx="191">
                  <c:v>10</c:v>
                </c:pt>
                <c:pt idx="192">
                  <c:v>11</c:v>
                </c:pt>
                <c:pt idx="193">
                  <c:v>13</c:v>
                </c:pt>
                <c:pt idx="194">
                  <c:v>11</c:v>
                </c:pt>
                <c:pt idx="195">
                  <c:v>13</c:v>
                </c:pt>
                <c:pt idx="196">
                  <c:v>17</c:v>
                </c:pt>
                <c:pt idx="197">
                  <c:v>14</c:v>
                </c:pt>
                <c:pt idx="198">
                  <c:v>16</c:v>
                </c:pt>
                <c:pt idx="199">
                  <c:v>14</c:v>
                </c:pt>
                <c:pt idx="200">
                  <c:v>11</c:v>
                </c:pt>
                <c:pt idx="201">
                  <c:v>16</c:v>
                </c:pt>
                <c:pt idx="202">
                  <c:v>14</c:v>
                </c:pt>
                <c:pt idx="203">
                  <c:v>10</c:v>
                </c:pt>
                <c:pt idx="204">
                  <c:v>13</c:v>
                </c:pt>
                <c:pt idx="205">
                  <c:v>12</c:v>
                </c:pt>
                <c:pt idx="206">
                  <c:v>12</c:v>
                </c:pt>
                <c:pt idx="207">
                  <c:v>10</c:v>
                </c:pt>
                <c:pt idx="208">
                  <c:v>12</c:v>
                </c:pt>
                <c:pt idx="209">
                  <c:v>16</c:v>
                </c:pt>
                <c:pt idx="210">
                  <c:v>14</c:v>
                </c:pt>
                <c:pt idx="211">
                  <c:v>12</c:v>
                </c:pt>
                <c:pt idx="212">
                  <c:v>16</c:v>
                </c:pt>
                <c:pt idx="213">
                  <c:v>11</c:v>
                </c:pt>
                <c:pt idx="214">
                  <c:v>15</c:v>
                </c:pt>
                <c:pt idx="215">
                  <c:v>12</c:v>
                </c:pt>
                <c:pt idx="216">
                  <c:v>15</c:v>
                </c:pt>
                <c:pt idx="217">
                  <c:v>13</c:v>
                </c:pt>
                <c:pt idx="218">
                  <c:v>13</c:v>
                </c:pt>
                <c:pt idx="219">
                  <c:v>8</c:v>
                </c:pt>
                <c:pt idx="220">
                  <c:v>12</c:v>
                </c:pt>
                <c:pt idx="221">
                  <c:v>15</c:v>
                </c:pt>
                <c:pt idx="222">
                  <c:v>13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13</c:v>
                </c:pt>
                <c:pt idx="227">
                  <c:v>11</c:v>
                </c:pt>
                <c:pt idx="228">
                  <c:v>11</c:v>
                </c:pt>
                <c:pt idx="229">
                  <c:v>15</c:v>
                </c:pt>
                <c:pt idx="230">
                  <c:v>10</c:v>
                </c:pt>
                <c:pt idx="231">
                  <c:v>10</c:v>
                </c:pt>
                <c:pt idx="232">
                  <c:v>13</c:v>
                </c:pt>
                <c:pt idx="233">
                  <c:v>13</c:v>
                </c:pt>
                <c:pt idx="234">
                  <c:v>11</c:v>
                </c:pt>
                <c:pt idx="235">
                  <c:v>12</c:v>
                </c:pt>
                <c:pt idx="236">
                  <c:v>14</c:v>
                </c:pt>
                <c:pt idx="237">
                  <c:v>10</c:v>
                </c:pt>
                <c:pt idx="238">
                  <c:v>16</c:v>
                </c:pt>
                <c:pt idx="239">
                  <c:v>8</c:v>
                </c:pt>
                <c:pt idx="240">
                  <c:v>17</c:v>
                </c:pt>
                <c:pt idx="241">
                  <c:v>11</c:v>
                </c:pt>
                <c:pt idx="242">
                  <c:v>11</c:v>
                </c:pt>
                <c:pt idx="243">
                  <c:v>16</c:v>
                </c:pt>
                <c:pt idx="244">
                  <c:v>12</c:v>
                </c:pt>
                <c:pt idx="245">
                  <c:v>13</c:v>
                </c:pt>
                <c:pt idx="246">
                  <c:v>13</c:v>
                </c:pt>
                <c:pt idx="247">
                  <c:v>14</c:v>
                </c:pt>
                <c:pt idx="248">
                  <c:v>9</c:v>
                </c:pt>
                <c:pt idx="249">
                  <c:v>12</c:v>
                </c:pt>
                <c:pt idx="250">
                  <c:v>16</c:v>
                </c:pt>
                <c:pt idx="251">
                  <c:v>10</c:v>
                </c:pt>
                <c:pt idx="252">
                  <c:v>13</c:v>
                </c:pt>
                <c:pt idx="253">
                  <c:v>10</c:v>
                </c:pt>
                <c:pt idx="254">
                  <c:v>10</c:v>
                </c:pt>
                <c:pt idx="255">
                  <c:v>7</c:v>
                </c:pt>
                <c:pt idx="256">
                  <c:v>8</c:v>
                </c:pt>
                <c:pt idx="257">
                  <c:v>9</c:v>
                </c:pt>
                <c:pt idx="258">
                  <c:v>15</c:v>
                </c:pt>
                <c:pt idx="259">
                  <c:v>10</c:v>
                </c:pt>
                <c:pt idx="260">
                  <c:v>11</c:v>
                </c:pt>
                <c:pt idx="261">
                  <c:v>13</c:v>
                </c:pt>
                <c:pt idx="262">
                  <c:v>8</c:v>
                </c:pt>
                <c:pt idx="263">
                  <c:v>8</c:v>
                </c:pt>
                <c:pt idx="264">
                  <c:v>10</c:v>
                </c:pt>
                <c:pt idx="265">
                  <c:v>15</c:v>
                </c:pt>
                <c:pt idx="266">
                  <c:v>14</c:v>
                </c:pt>
                <c:pt idx="267">
                  <c:v>15</c:v>
                </c:pt>
                <c:pt idx="268">
                  <c:v>12</c:v>
                </c:pt>
                <c:pt idx="269">
                  <c:v>15</c:v>
                </c:pt>
                <c:pt idx="270">
                  <c:v>15</c:v>
                </c:pt>
                <c:pt idx="271">
                  <c:v>12</c:v>
                </c:pt>
                <c:pt idx="272">
                  <c:v>15</c:v>
                </c:pt>
                <c:pt idx="273">
                  <c:v>11</c:v>
                </c:pt>
                <c:pt idx="274">
                  <c:v>10</c:v>
                </c:pt>
                <c:pt idx="275">
                  <c:v>11</c:v>
                </c:pt>
                <c:pt idx="276">
                  <c:v>16</c:v>
                </c:pt>
                <c:pt idx="277">
                  <c:v>11</c:v>
                </c:pt>
                <c:pt idx="278">
                  <c:v>13</c:v>
                </c:pt>
                <c:pt idx="279">
                  <c:v>5</c:v>
                </c:pt>
                <c:pt idx="280">
                  <c:v>10</c:v>
                </c:pt>
                <c:pt idx="281">
                  <c:v>11</c:v>
                </c:pt>
                <c:pt idx="282">
                  <c:v>7</c:v>
                </c:pt>
                <c:pt idx="283">
                  <c:v>10</c:v>
                </c:pt>
                <c:pt idx="284">
                  <c:v>6</c:v>
                </c:pt>
                <c:pt idx="285">
                  <c:v>12</c:v>
                </c:pt>
                <c:pt idx="286">
                  <c:v>13</c:v>
                </c:pt>
                <c:pt idx="287">
                  <c:v>10</c:v>
                </c:pt>
                <c:pt idx="288">
                  <c:v>13</c:v>
                </c:pt>
                <c:pt idx="289">
                  <c:v>17</c:v>
                </c:pt>
                <c:pt idx="290">
                  <c:v>11</c:v>
                </c:pt>
                <c:pt idx="291">
                  <c:v>11</c:v>
                </c:pt>
                <c:pt idx="292">
                  <c:v>14</c:v>
                </c:pt>
                <c:pt idx="293">
                  <c:v>14</c:v>
                </c:pt>
                <c:pt idx="294">
                  <c:v>13</c:v>
                </c:pt>
                <c:pt idx="295">
                  <c:v>14</c:v>
                </c:pt>
                <c:pt idx="296">
                  <c:v>16</c:v>
                </c:pt>
                <c:pt idx="297">
                  <c:v>10</c:v>
                </c:pt>
                <c:pt idx="298">
                  <c:v>12</c:v>
                </c:pt>
                <c:pt idx="299">
                  <c:v>12</c:v>
                </c:pt>
                <c:pt idx="300">
                  <c:v>15</c:v>
                </c:pt>
                <c:pt idx="301">
                  <c:v>11</c:v>
                </c:pt>
                <c:pt idx="302">
                  <c:v>12</c:v>
                </c:pt>
                <c:pt idx="303">
                  <c:v>13</c:v>
                </c:pt>
                <c:pt idx="304">
                  <c:v>13</c:v>
                </c:pt>
                <c:pt idx="305">
                  <c:v>9</c:v>
                </c:pt>
                <c:pt idx="306">
                  <c:v>16</c:v>
                </c:pt>
                <c:pt idx="307">
                  <c:v>14</c:v>
                </c:pt>
                <c:pt idx="308">
                  <c:v>12</c:v>
                </c:pt>
                <c:pt idx="309">
                  <c:v>14</c:v>
                </c:pt>
                <c:pt idx="310">
                  <c:v>10</c:v>
                </c:pt>
                <c:pt idx="311">
                  <c:v>12</c:v>
                </c:pt>
                <c:pt idx="312">
                  <c:v>16</c:v>
                </c:pt>
                <c:pt idx="313">
                  <c:v>13</c:v>
                </c:pt>
                <c:pt idx="314">
                  <c:v>18</c:v>
                </c:pt>
                <c:pt idx="315">
                  <c:v>15</c:v>
                </c:pt>
                <c:pt idx="316">
                  <c:v>16</c:v>
                </c:pt>
                <c:pt idx="317">
                  <c:v>12</c:v>
                </c:pt>
                <c:pt idx="318">
                  <c:v>10</c:v>
                </c:pt>
                <c:pt idx="319">
                  <c:v>12</c:v>
                </c:pt>
                <c:pt idx="320">
                  <c:v>13</c:v>
                </c:pt>
                <c:pt idx="321">
                  <c:v>15</c:v>
                </c:pt>
                <c:pt idx="322">
                  <c:v>10</c:v>
                </c:pt>
                <c:pt idx="323">
                  <c:v>10</c:v>
                </c:pt>
                <c:pt idx="324">
                  <c:v>11</c:v>
                </c:pt>
                <c:pt idx="325">
                  <c:v>10</c:v>
                </c:pt>
                <c:pt idx="326">
                  <c:v>13</c:v>
                </c:pt>
                <c:pt idx="327">
                  <c:v>18</c:v>
                </c:pt>
                <c:pt idx="328">
                  <c:v>13</c:v>
                </c:pt>
                <c:pt idx="329">
                  <c:v>14</c:v>
                </c:pt>
                <c:pt idx="330">
                  <c:v>14</c:v>
                </c:pt>
                <c:pt idx="331">
                  <c:v>12</c:v>
                </c:pt>
                <c:pt idx="332">
                  <c:v>18</c:v>
                </c:pt>
                <c:pt idx="333">
                  <c:v>14</c:v>
                </c:pt>
                <c:pt idx="334">
                  <c:v>15</c:v>
                </c:pt>
                <c:pt idx="335">
                  <c:v>17</c:v>
                </c:pt>
                <c:pt idx="336">
                  <c:v>16</c:v>
                </c:pt>
                <c:pt idx="337">
                  <c:v>18</c:v>
                </c:pt>
                <c:pt idx="338">
                  <c:v>19</c:v>
                </c:pt>
                <c:pt idx="339">
                  <c:v>15</c:v>
                </c:pt>
                <c:pt idx="340">
                  <c:v>15</c:v>
                </c:pt>
                <c:pt idx="341">
                  <c:v>13</c:v>
                </c:pt>
                <c:pt idx="342">
                  <c:v>14</c:v>
                </c:pt>
                <c:pt idx="343">
                  <c:v>17</c:v>
                </c:pt>
                <c:pt idx="344">
                  <c:v>17</c:v>
                </c:pt>
                <c:pt idx="345">
                  <c:v>15</c:v>
                </c:pt>
                <c:pt idx="346">
                  <c:v>13</c:v>
                </c:pt>
                <c:pt idx="347">
                  <c:v>8</c:v>
                </c:pt>
                <c:pt idx="348">
                  <c:v>16</c:v>
                </c:pt>
                <c:pt idx="349">
                  <c:v>18</c:v>
                </c:pt>
                <c:pt idx="350">
                  <c:v>11</c:v>
                </c:pt>
                <c:pt idx="351">
                  <c:v>15</c:v>
                </c:pt>
                <c:pt idx="352">
                  <c:v>11</c:v>
                </c:pt>
                <c:pt idx="353">
                  <c:v>11</c:v>
                </c:pt>
                <c:pt idx="354">
                  <c:v>15</c:v>
                </c:pt>
                <c:pt idx="355">
                  <c:v>14</c:v>
                </c:pt>
                <c:pt idx="356">
                  <c:v>17</c:v>
                </c:pt>
                <c:pt idx="357">
                  <c:v>17</c:v>
                </c:pt>
                <c:pt idx="358">
                  <c:v>15</c:v>
                </c:pt>
                <c:pt idx="359">
                  <c:v>17</c:v>
                </c:pt>
                <c:pt idx="360">
                  <c:v>14</c:v>
                </c:pt>
                <c:pt idx="361">
                  <c:v>10</c:v>
                </c:pt>
                <c:pt idx="362">
                  <c:v>13</c:v>
                </c:pt>
                <c:pt idx="363">
                  <c:v>14</c:v>
                </c:pt>
                <c:pt idx="364">
                  <c:v>17</c:v>
                </c:pt>
                <c:pt idx="365">
                  <c:v>17</c:v>
                </c:pt>
                <c:pt idx="366">
                  <c:v>13</c:v>
                </c:pt>
                <c:pt idx="367">
                  <c:v>14</c:v>
                </c:pt>
                <c:pt idx="368">
                  <c:v>11</c:v>
                </c:pt>
                <c:pt idx="369">
                  <c:v>11</c:v>
                </c:pt>
                <c:pt idx="370">
                  <c:v>9</c:v>
                </c:pt>
                <c:pt idx="371">
                  <c:v>10</c:v>
                </c:pt>
                <c:pt idx="372">
                  <c:v>13</c:v>
                </c:pt>
                <c:pt idx="373">
                  <c:v>10</c:v>
                </c:pt>
                <c:pt idx="374">
                  <c:v>17</c:v>
                </c:pt>
                <c:pt idx="375">
                  <c:v>15</c:v>
                </c:pt>
                <c:pt idx="376">
                  <c:v>14</c:v>
                </c:pt>
                <c:pt idx="377">
                  <c:v>13</c:v>
                </c:pt>
                <c:pt idx="378">
                  <c:v>17</c:v>
                </c:pt>
                <c:pt idx="379">
                  <c:v>10</c:v>
                </c:pt>
                <c:pt idx="380">
                  <c:v>13</c:v>
                </c:pt>
                <c:pt idx="381">
                  <c:v>15</c:v>
                </c:pt>
                <c:pt idx="382">
                  <c:v>11</c:v>
                </c:pt>
                <c:pt idx="383">
                  <c:v>12</c:v>
                </c:pt>
                <c:pt idx="384">
                  <c:v>10</c:v>
                </c:pt>
                <c:pt idx="385">
                  <c:v>10</c:v>
                </c:pt>
                <c:pt idx="386">
                  <c:v>15</c:v>
                </c:pt>
                <c:pt idx="387">
                  <c:v>15</c:v>
                </c:pt>
                <c:pt idx="388">
                  <c:v>12</c:v>
                </c:pt>
                <c:pt idx="389">
                  <c:v>12</c:v>
                </c:pt>
                <c:pt idx="390">
                  <c:v>14</c:v>
                </c:pt>
                <c:pt idx="391">
                  <c:v>14</c:v>
                </c:pt>
                <c:pt idx="392">
                  <c:v>15</c:v>
                </c:pt>
                <c:pt idx="393">
                  <c:v>15</c:v>
                </c:pt>
                <c:pt idx="394">
                  <c:v>16</c:v>
                </c:pt>
                <c:pt idx="395">
                  <c:v>13</c:v>
                </c:pt>
                <c:pt idx="396">
                  <c:v>17</c:v>
                </c:pt>
                <c:pt idx="397">
                  <c:v>14</c:v>
                </c:pt>
                <c:pt idx="398">
                  <c:v>14</c:v>
                </c:pt>
                <c:pt idx="399">
                  <c:v>17</c:v>
                </c:pt>
                <c:pt idx="400">
                  <c:v>17</c:v>
                </c:pt>
                <c:pt idx="401">
                  <c:v>14</c:v>
                </c:pt>
                <c:pt idx="402">
                  <c:v>13</c:v>
                </c:pt>
                <c:pt idx="403">
                  <c:v>15</c:v>
                </c:pt>
                <c:pt idx="404">
                  <c:v>16</c:v>
                </c:pt>
                <c:pt idx="405">
                  <c:v>11</c:v>
                </c:pt>
                <c:pt idx="406">
                  <c:v>13</c:v>
                </c:pt>
                <c:pt idx="407">
                  <c:v>12</c:v>
                </c:pt>
                <c:pt idx="408">
                  <c:v>12</c:v>
                </c:pt>
                <c:pt idx="409">
                  <c:v>15</c:v>
                </c:pt>
                <c:pt idx="410">
                  <c:v>17</c:v>
                </c:pt>
                <c:pt idx="411">
                  <c:v>15</c:v>
                </c:pt>
                <c:pt idx="412">
                  <c:v>17</c:v>
                </c:pt>
                <c:pt idx="413">
                  <c:v>10</c:v>
                </c:pt>
                <c:pt idx="414">
                  <c:v>15</c:v>
                </c:pt>
                <c:pt idx="415">
                  <c:v>11</c:v>
                </c:pt>
                <c:pt idx="416">
                  <c:v>18</c:v>
                </c:pt>
                <c:pt idx="417">
                  <c:v>17</c:v>
                </c:pt>
                <c:pt idx="418">
                  <c:v>14</c:v>
                </c:pt>
                <c:pt idx="419">
                  <c:v>11</c:v>
                </c:pt>
                <c:pt idx="420">
                  <c:v>17</c:v>
                </c:pt>
                <c:pt idx="421">
                  <c:v>10</c:v>
                </c:pt>
                <c:pt idx="422">
                  <c:v>13</c:v>
                </c:pt>
                <c:pt idx="423">
                  <c:v>11</c:v>
                </c:pt>
                <c:pt idx="424">
                  <c:v>12</c:v>
                </c:pt>
                <c:pt idx="425">
                  <c:v>10</c:v>
                </c:pt>
                <c:pt idx="426">
                  <c:v>11</c:v>
                </c:pt>
                <c:pt idx="427">
                  <c:v>17</c:v>
                </c:pt>
                <c:pt idx="428">
                  <c:v>9</c:v>
                </c:pt>
                <c:pt idx="429">
                  <c:v>11</c:v>
                </c:pt>
                <c:pt idx="430">
                  <c:v>11</c:v>
                </c:pt>
                <c:pt idx="431">
                  <c:v>10</c:v>
                </c:pt>
                <c:pt idx="432">
                  <c:v>7</c:v>
                </c:pt>
                <c:pt idx="433">
                  <c:v>14</c:v>
                </c:pt>
                <c:pt idx="434">
                  <c:v>11</c:v>
                </c:pt>
                <c:pt idx="435">
                  <c:v>10</c:v>
                </c:pt>
                <c:pt idx="436">
                  <c:v>8</c:v>
                </c:pt>
                <c:pt idx="437">
                  <c:v>12</c:v>
                </c:pt>
                <c:pt idx="438">
                  <c:v>12</c:v>
                </c:pt>
                <c:pt idx="439">
                  <c:v>16</c:v>
                </c:pt>
                <c:pt idx="440">
                  <c:v>0</c:v>
                </c:pt>
                <c:pt idx="441">
                  <c:v>9</c:v>
                </c:pt>
                <c:pt idx="442">
                  <c:v>14</c:v>
                </c:pt>
                <c:pt idx="443">
                  <c:v>8</c:v>
                </c:pt>
                <c:pt idx="444">
                  <c:v>11</c:v>
                </c:pt>
                <c:pt idx="445">
                  <c:v>9</c:v>
                </c:pt>
                <c:pt idx="446">
                  <c:v>11</c:v>
                </c:pt>
                <c:pt idx="447">
                  <c:v>9</c:v>
                </c:pt>
                <c:pt idx="448">
                  <c:v>17</c:v>
                </c:pt>
                <c:pt idx="449">
                  <c:v>13</c:v>
                </c:pt>
                <c:pt idx="450">
                  <c:v>15</c:v>
                </c:pt>
                <c:pt idx="451">
                  <c:v>11</c:v>
                </c:pt>
                <c:pt idx="452">
                  <c:v>11</c:v>
                </c:pt>
                <c:pt idx="453">
                  <c:v>8</c:v>
                </c:pt>
                <c:pt idx="454">
                  <c:v>8</c:v>
                </c:pt>
                <c:pt idx="455">
                  <c:v>9</c:v>
                </c:pt>
                <c:pt idx="456">
                  <c:v>15</c:v>
                </c:pt>
                <c:pt idx="457">
                  <c:v>11</c:v>
                </c:pt>
                <c:pt idx="458">
                  <c:v>13</c:v>
                </c:pt>
                <c:pt idx="459">
                  <c:v>10</c:v>
                </c:pt>
                <c:pt idx="460">
                  <c:v>11</c:v>
                </c:pt>
                <c:pt idx="461">
                  <c:v>14</c:v>
                </c:pt>
                <c:pt idx="462">
                  <c:v>14</c:v>
                </c:pt>
                <c:pt idx="463">
                  <c:v>12</c:v>
                </c:pt>
                <c:pt idx="464">
                  <c:v>11</c:v>
                </c:pt>
                <c:pt idx="465">
                  <c:v>8</c:v>
                </c:pt>
                <c:pt idx="466">
                  <c:v>11</c:v>
                </c:pt>
                <c:pt idx="467">
                  <c:v>14</c:v>
                </c:pt>
                <c:pt idx="468">
                  <c:v>13</c:v>
                </c:pt>
                <c:pt idx="469">
                  <c:v>13</c:v>
                </c:pt>
                <c:pt idx="470">
                  <c:v>12</c:v>
                </c:pt>
                <c:pt idx="471">
                  <c:v>12</c:v>
                </c:pt>
                <c:pt idx="472">
                  <c:v>16</c:v>
                </c:pt>
                <c:pt idx="473">
                  <c:v>10</c:v>
                </c:pt>
                <c:pt idx="474">
                  <c:v>11</c:v>
                </c:pt>
                <c:pt idx="475">
                  <c:v>14</c:v>
                </c:pt>
                <c:pt idx="476">
                  <c:v>8</c:v>
                </c:pt>
                <c:pt idx="477">
                  <c:v>11</c:v>
                </c:pt>
                <c:pt idx="478">
                  <c:v>8</c:v>
                </c:pt>
                <c:pt idx="479">
                  <c:v>10</c:v>
                </c:pt>
                <c:pt idx="480">
                  <c:v>10</c:v>
                </c:pt>
                <c:pt idx="481">
                  <c:v>11</c:v>
                </c:pt>
                <c:pt idx="482">
                  <c:v>9</c:v>
                </c:pt>
                <c:pt idx="483">
                  <c:v>11</c:v>
                </c:pt>
                <c:pt idx="484">
                  <c:v>8</c:v>
                </c:pt>
                <c:pt idx="485">
                  <c:v>11</c:v>
                </c:pt>
                <c:pt idx="486">
                  <c:v>10</c:v>
                </c:pt>
                <c:pt idx="487">
                  <c:v>10</c:v>
                </c:pt>
                <c:pt idx="488">
                  <c:v>9</c:v>
                </c:pt>
                <c:pt idx="489">
                  <c:v>10</c:v>
                </c:pt>
                <c:pt idx="490">
                  <c:v>10</c:v>
                </c:pt>
                <c:pt idx="491">
                  <c:v>9</c:v>
                </c:pt>
                <c:pt idx="492">
                  <c:v>10</c:v>
                </c:pt>
                <c:pt idx="493">
                  <c:v>10</c:v>
                </c:pt>
                <c:pt idx="494">
                  <c:v>9</c:v>
                </c:pt>
                <c:pt idx="495">
                  <c:v>13</c:v>
                </c:pt>
                <c:pt idx="496">
                  <c:v>14</c:v>
                </c:pt>
                <c:pt idx="497">
                  <c:v>10</c:v>
                </c:pt>
                <c:pt idx="498">
                  <c:v>14</c:v>
                </c:pt>
                <c:pt idx="499">
                  <c:v>16</c:v>
                </c:pt>
                <c:pt idx="500">
                  <c:v>7</c:v>
                </c:pt>
                <c:pt idx="501">
                  <c:v>13</c:v>
                </c:pt>
                <c:pt idx="502">
                  <c:v>9</c:v>
                </c:pt>
                <c:pt idx="503">
                  <c:v>14</c:v>
                </c:pt>
                <c:pt idx="504">
                  <c:v>13</c:v>
                </c:pt>
                <c:pt idx="505">
                  <c:v>11</c:v>
                </c:pt>
                <c:pt idx="506">
                  <c:v>10</c:v>
                </c:pt>
                <c:pt idx="507">
                  <c:v>10</c:v>
                </c:pt>
                <c:pt idx="508">
                  <c:v>9</c:v>
                </c:pt>
                <c:pt idx="509">
                  <c:v>18</c:v>
                </c:pt>
                <c:pt idx="510">
                  <c:v>17</c:v>
                </c:pt>
                <c:pt idx="511">
                  <c:v>10</c:v>
                </c:pt>
                <c:pt idx="512">
                  <c:v>7</c:v>
                </c:pt>
                <c:pt idx="513">
                  <c:v>8</c:v>
                </c:pt>
                <c:pt idx="514">
                  <c:v>7</c:v>
                </c:pt>
                <c:pt idx="515">
                  <c:v>10</c:v>
                </c:pt>
                <c:pt idx="516">
                  <c:v>16</c:v>
                </c:pt>
                <c:pt idx="517">
                  <c:v>15</c:v>
                </c:pt>
                <c:pt idx="518">
                  <c:v>8</c:v>
                </c:pt>
                <c:pt idx="519">
                  <c:v>0</c:v>
                </c:pt>
                <c:pt idx="520">
                  <c:v>8</c:v>
                </c:pt>
                <c:pt idx="521">
                  <c:v>10</c:v>
                </c:pt>
                <c:pt idx="522">
                  <c:v>8</c:v>
                </c:pt>
                <c:pt idx="523">
                  <c:v>6</c:v>
                </c:pt>
                <c:pt idx="524">
                  <c:v>8</c:v>
                </c:pt>
                <c:pt idx="525">
                  <c:v>16</c:v>
                </c:pt>
                <c:pt idx="526">
                  <c:v>14</c:v>
                </c:pt>
                <c:pt idx="527">
                  <c:v>10</c:v>
                </c:pt>
                <c:pt idx="528">
                  <c:v>9</c:v>
                </c:pt>
                <c:pt idx="529">
                  <c:v>11</c:v>
                </c:pt>
                <c:pt idx="530">
                  <c:v>9</c:v>
                </c:pt>
                <c:pt idx="531">
                  <c:v>10</c:v>
                </c:pt>
                <c:pt idx="532">
                  <c:v>8</c:v>
                </c:pt>
                <c:pt idx="533">
                  <c:v>16</c:v>
                </c:pt>
                <c:pt idx="534">
                  <c:v>12</c:v>
                </c:pt>
                <c:pt idx="535">
                  <c:v>10</c:v>
                </c:pt>
                <c:pt idx="536">
                  <c:v>14</c:v>
                </c:pt>
                <c:pt idx="537">
                  <c:v>12</c:v>
                </c:pt>
                <c:pt idx="538">
                  <c:v>11</c:v>
                </c:pt>
                <c:pt idx="539">
                  <c:v>10</c:v>
                </c:pt>
                <c:pt idx="540">
                  <c:v>11</c:v>
                </c:pt>
                <c:pt idx="541">
                  <c:v>11</c:v>
                </c:pt>
                <c:pt idx="542">
                  <c:v>12</c:v>
                </c:pt>
                <c:pt idx="543">
                  <c:v>8</c:v>
                </c:pt>
                <c:pt idx="544">
                  <c:v>12</c:v>
                </c:pt>
                <c:pt idx="545">
                  <c:v>8</c:v>
                </c:pt>
                <c:pt idx="546">
                  <c:v>16</c:v>
                </c:pt>
                <c:pt idx="547">
                  <c:v>11</c:v>
                </c:pt>
                <c:pt idx="548">
                  <c:v>11</c:v>
                </c:pt>
                <c:pt idx="549">
                  <c:v>18</c:v>
                </c:pt>
                <c:pt idx="550">
                  <c:v>13</c:v>
                </c:pt>
                <c:pt idx="551">
                  <c:v>13</c:v>
                </c:pt>
                <c:pt idx="552">
                  <c:v>10</c:v>
                </c:pt>
                <c:pt idx="553">
                  <c:v>12</c:v>
                </c:pt>
                <c:pt idx="554">
                  <c:v>10</c:v>
                </c:pt>
                <c:pt idx="555">
                  <c:v>13</c:v>
                </c:pt>
                <c:pt idx="556">
                  <c:v>11</c:v>
                </c:pt>
                <c:pt idx="557">
                  <c:v>10</c:v>
                </c:pt>
                <c:pt idx="558">
                  <c:v>10</c:v>
                </c:pt>
                <c:pt idx="559">
                  <c:v>13</c:v>
                </c:pt>
                <c:pt idx="560">
                  <c:v>10</c:v>
                </c:pt>
                <c:pt idx="561">
                  <c:v>10</c:v>
                </c:pt>
                <c:pt idx="562">
                  <c:v>12</c:v>
                </c:pt>
                <c:pt idx="563">
                  <c:v>0</c:v>
                </c:pt>
                <c:pt idx="564">
                  <c:v>10</c:v>
                </c:pt>
                <c:pt idx="565">
                  <c:v>9</c:v>
                </c:pt>
                <c:pt idx="566">
                  <c:v>9</c:v>
                </c:pt>
                <c:pt idx="567">
                  <c:v>0</c:v>
                </c:pt>
                <c:pt idx="568">
                  <c:v>9</c:v>
                </c:pt>
                <c:pt idx="569">
                  <c:v>8</c:v>
                </c:pt>
                <c:pt idx="570">
                  <c:v>8</c:v>
                </c:pt>
                <c:pt idx="571">
                  <c:v>9</c:v>
                </c:pt>
                <c:pt idx="572">
                  <c:v>7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11</c:v>
                </c:pt>
                <c:pt idx="577">
                  <c:v>11</c:v>
                </c:pt>
                <c:pt idx="578">
                  <c:v>10</c:v>
                </c:pt>
                <c:pt idx="579">
                  <c:v>9</c:v>
                </c:pt>
                <c:pt idx="580">
                  <c:v>10</c:v>
                </c:pt>
                <c:pt idx="581">
                  <c:v>8</c:v>
                </c:pt>
                <c:pt idx="582">
                  <c:v>7</c:v>
                </c:pt>
                <c:pt idx="583">
                  <c:v>0</c:v>
                </c:pt>
                <c:pt idx="584">
                  <c:v>11</c:v>
                </c:pt>
                <c:pt idx="585">
                  <c:v>8</c:v>
                </c:pt>
                <c:pt idx="586">
                  <c:v>0</c:v>
                </c:pt>
                <c:pt idx="587">
                  <c:v>8</c:v>
                </c:pt>
                <c:pt idx="588">
                  <c:v>9</c:v>
                </c:pt>
                <c:pt idx="589">
                  <c:v>10</c:v>
                </c:pt>
                <c:pt idx="590">
                  <c:v>7</c:v>
                </c:pt>
                <c:pt idx="591">
                  <c:v>14</c:v>
                </c:pt>
                <c:pt idx="592">
                  <c:v>13</c:v>
                </c:pt>
                <c:pt idx="593">
                  <c:v>14</c:v>
                </c:pt>
                <c:pt idx="594">
                  <c:v>18</c:v>
                </c:pt>
                <c:pt idx="595">
                  <c:v>17</c:v>
                </c:pt>
                <c:pt idx="596">
                  <c:v>18</c:v>
                </c:pt>
                <c:pt idx="597">
                  <c:v>0</c:v>
                </c:pt>
                <c:pt idx="598">
                  <c:v>11</c:v>
                </c:pt>
                <c:pt idx="599">
                  <c:v>14</c:v>
                </c:pt>
                <c:pt idx="600">
                  <c:v>14</c:v>
                </c:pt>
                <c:pt idx="601">
                  <c:v>10</c:v>
                </c:pt>
                <c:pt idx="602">
                  <c:v>13</c:v>
                </c:pt>
                <c:pt idx="603">
                  <c:v>0</c:v>
                </c:pt>
                <c:pt idx="604">
                  <c:v>10</c:v>
                </c:pt>
                <c:pt idx="605">
                  <c:v>0</c:v>
                </c:pt>
                <c:pt idx="606">
                  <c:v>18</c:v>
                </c:pt>
                <c:pt idx="607">
                  <c:v>12</c:v>
                </c:pt>
                <c:pt idx="608">
                  <c:v>11</c:v>
                </c:pt>
                <c:pt idx="609">
                  <c:v>12</c:v>
                </c:pt>
                <c:pt idx="610">
                  <c:v>0</c:v>
                </c:pt>
                <c:pt idx="611">
                  <c:v>15</c:v>
                </c:pt>
                <c:pt idx="612">
                  <c:v>11</c:v>
                </c:pt>
                <c:pt idx="613">
                  <c:v>10</c:v>
                </c:pt>
                <c:pt idx="614">
                  <c:v>12</c:v>
                </c:pt>
                <c:pt idx="615">
                  <c:v>15</c:v>
                </c:pt>
                <c:pt idx="616">
                  <c:v>14</c:v>
                </c:pt>
                <c:pt idx="617">
                  <c:v>18</c:v>
                </c:pt>
                <c:pt idx="618">
                  <c:v>15</c:v>
                </c:pt>
                <c:pt idx="619">
                  <c:v>13</c:v>
                </c:pt>
                <c:pt idx="620">
                  <c:v>15</c:v>
                </c:pt>
                <c:pt idx="621">
                  <c:v>13</c:v>
                </c:pt>
                <c:pt idx="622">
                  <c:v>9</c:v>
                </c:pt>
                <c:pt idx="623">
                  <c:v>16</c:v>
                </c:pt>
                <c:pt idx="624">
                  <c:v>9</c:v>
                </c:pt>
                <c:pt idx="625">
                  <c:v>10</c:v>
                </c:pt>
                <c:pt idx="626">
                  <c:v>0</c:v>
                </c:pt>
                <c:pt idx="627">
                  <c:v>10</c:v>
                </c:pt>
                <c:pt idx="628">
                  <c:v>12</c:v>
                </c:pt>
                <c:pt idx="629">
                  <c:v>9</c:v>
                </c:pt>
                <c:pt idx="630">
                  <c:v>17</c:v>
                </c:pt>
                <c:pt idx="631">
                  <c:v>12</c:v>
                </c:pt>
                <c:pt idx="632">
                  <c:v>9</c:v>
                </c:pt>
                <c:pt idx="633">
                  <c:v>14</c:v>
                </c:pt>
                <c:pt idx="634">
                  <c:v>16</c:v>
                </c:pt>
                <c:pt idx="635">
                  <c:v>9</c:v>
                </c:pt>
                <c:pt idx="636">
                  <c:v>19</c:v>
                </c:pt>
                <c:pt idx="637">
                  <c:v>0</c:v>
                </c:pt>
                <c:pt idx="638">
                  <c:v>16</c:v>
                </c:pt>
                <c:pt idx="639">
                  <c:v>0</c:v>
                </c:pt>
                <c:pt idx="640">
                  <c:v>0</c:v>
                </c:pt>
                <c:pt idx="641">
                  <c:v>15</c:v>
                </c:pt>
                <c:pt idx="642">
                  <c:v>11</c:v>
                </c:pt>
                <c:pt idx="643">
                  <c:v>10</c:v>
                </c:pt>
                <c:pt idx="644">
                  <c:v>10</c:v>
                </c:pt>
                <c:pt idx="645">
                  <c:v>16</c:v>
                </c:pt>
                <c:pt idx="646">
                  <c:v>9</c:v>
                </c:pt>
                <c:pt idx="647">
                  <c:v>10</c:v>
                </c:pt>
                <c:pt idx="64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8-48D3-82F6-8CBF1D29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257679"/>
        <c:axId val="895258511"/>
      </c:scatterChart>
      <c:valAx>
        <c:axId val="89525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58511"/>
        <c:crosses val="autoZero"/>
        <c:crossBetween val="midCat"/>
      </c:valAx>
      <c:valAx>
        <c:axId val="8952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5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Risk Factor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Factor'!$B$5</c:f>
              <c:strCache>
                <c:ptCount val="1"/>
                <c:pt idx="0">
                  <c:v>Correlation with G3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F-4BAB-9011-2DAACDEEF9CB}"/>
              </c:ext>
            </c:extLst>
          </c:dPt>
          <c:cat>
            <c:strRef>
              <c:f>'Risk Factor'!$A$6:$A$8</c:f>
              <c:strCache>
                <c:ptCount val="3"/>
                <c:pt idx="0">
                  <c:v>Absences</c:v>
                </c:pt>
                <c:pt idx="1">
                  <c:v>Study Time</c:v>
                </c:pt>
                <c:pt idx="2">
                  <c:v>Failures</c:v>
                </c:pt>
              </c:strCache>
            </c:strRef>
          </c:cat>
          <c:val>
            <c:numRef>
              <c:f>'Risk Factor'!$B$6:$B$8</c:f>
              <c:numCache>
                <c:formatCode>General</c:formatCode>
                <c:ptCount val="3"/>
                <c:pt idx="0">
                  <c:v>-9.1379056438756961E-2</c:v>
                </c:pt>
                <c:pt idx="1">
                  <c:v>0.24978868999886106</c:v>
                </c:pt>
                <c:pt idx="2">
                  <c:v>-0.39331554804199043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F-4BAB-9011-2DAACDEE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246863"/>
        <c:axId val="895236463"/>
      </c:barChart>
      <c:catAx>
        <c:axId val="895246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36463"/>
        <c:crosses val="autoZero"/>
        <c:auto val="1"/>
        <c:lblAlgn val="ctr"/>
        <c:lblOffset val="100"/>
        <c:noMultiLvlLbl val="0"/>
      </c:catAx>
      <c:valAx>
        <c:axId val="8952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246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[Reverse Learning Project.xlsx]Performance Risk Index!PivotTable2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Risk Segmentation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Risk Index'!$C$5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3-480F-91D8-1EDFE4B9322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3-480F-91D8-1EDFE4B9322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3-480F-91D8-1EDFE4B93222}"/>
              </c:ext>
            </c:extLst>
          </c:dPt>
          <c:cat>
            <c:strRef>
              <c:f>'Performance Risk Index'!$B$6:$B$9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'Performance Risk Index'!$C$6:$C$9</c:f>
              <c:numCache>
                <c:formatCode>General</c:formatCode>
                <c:ptCount val="3"/>
                <c:pt idx="0">
                  <c:v>6</c:v>
                </c:pt>
                <c:pt idx="1">
                  <c:v>539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3-480F-91D8-1EDFE4B9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188527"/>
        <c:axId val="973188943"/>
      </c:barChart>
      <c:catAx>
        <c:axId val="97318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88943"/>
        <c:crosses val="autoZero"/>
        <c:auto val="1"/>
        <c:lblAlgn val="ctr"/>
        <c:lblOffset val="100"/>
        <c:noMultiLvlLbl val="0"/>
      </c:catAx>
      <c:valAx>
        <c:axId val="97318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8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Failure</a:t>
            </a:r>
            <a:r>
              <a:rPr lang="en-IN" baseline="0"/>
              <a:t> </a:t>
            </a:r>
            <a:r>
              <a:rPr lang="en-IN"/>
              <a:t>Rate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'Intervention Simulator'!$G$6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83-4F82-B0F3-36B63D8E75C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83-4F82-B0F3-36B63D8E75C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83-4F82-B0F3-36B63D8E75C4}"/>
              </c:ext>
            </c:extLst>
          </c:dPt>
          <c:cat>
            <c:strRef>
              <c:f>'Intervention Simulator'!$F$7:$F$9</c:f>
              <c:strCache>
                <c:ptCount val="3"/>
                <c:pt idx="0">
                  <c:v>Current</c:v>
                </c:pt>
                <c:pt idx="1">
                  <c:v>Projected</c:v>
                </c:pt>
                <c:pt idx="2">
                  <c:v>Target</c:v>
                </c:pt>
              </c:strCache>
            </c:strRef>
          </c:cat>
          <c:val>
            <c:numRef>
              <c:f>'Intervention Simulator'!$G$7:$G$9</c:f>
              <c:numCache>
                <c:formatCode>0.0%</c:formatCode>
                <c:ptCount val="3"/>
                <c:pt idx="0">
                  <c:v>0.15384615384615385</c:v>
                </c:pt>
                <c:pt idx="1">
                  <c:v>0.15384615384615385</c:v>
                </c:pt>
                <c:pt idx="2">
                  <c:v>0.12307692307692308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F82-B0F3-36B63D8E7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432383"/>
        <c:axId val="900430719"/>
      </c:barChart>
      <c:catAx>
        <c:axId val="90043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30719"/>
        <c:crosses val="autoZero"/>
        <c:auto val="1"/>
        <c:lblAlgn val="ctr"/>
        <c:lblOffset val="100"/>
        <c:noMultiLvlLbl val="0"/>
      </c:catAx>
      <c:valAx>
        <c:axId val="90043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5</xdr:row>
      <xdr:rowOff>6350</xdr:rowOff>
    </xdr:from>
    <xdr:to>
      <xdr:col>10</xdr:col>
      <xdr:colOff>320675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466725</xdr:colOff>
      <xdr:row>5</xdr:row>
      <xdr:rowOff>12700</xdr:rowOff>
    </xdr:from>
    <xdr:to>
      <xdr:col>18</xdr:col>
      <xdr:colOff>161925</xdr:colOff>
      <xdr:row>19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9524</xdr:colOff>
      <xdr:row>20</xdr:row>
      <xdr:rowOff>63500</xdr:rowOff>
    </xdr:from>
    <xdr:to>
      <xdr:col>18</xdr:col>
      <xdr:colOff>133349</xdr:colOff>
      <xdr:row>35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3</xdr:row>
      <xdr:rowOff>19050</xdr:rowOff>
    </xdr:from>
    <xdr:to>
      <xdr:col>9</xdr:col>
      <xdr:colOff>527050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3</xdr:row>
      <xdr:rowOff>19050</xdr:rowOff>
    </xdr:from>
    <xdr:to>
      <xdr:col>17</xdr:col>
      <xdr:colOff>317500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234950</xdr:colOff>
      <xdr:row>18</xdr:row>
      <xdr:rowOff>133350</xdr:rowOff>
    </xdr:from>
    <xdr:to>
      <xdr:col>9</xdr:col>
      <xdr:colOff>539750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18</xdr:row>
      <xdr:rowOff>133350</xdr:rowOff>
    </xdr:from>
    <xdr:to>
      <xdr:col>17</xdr:col>
      <xdr:colOff>314325</xdr:colOff>
      <xdr:row>33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3</xdr:row>
      <xdr:rowOff>139700</xdr:rowOff>
    </xdr:from>
    <xdr:to>
      <xdr:col>10</xdr:col>
      <xdr:colOff>600075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3</xdr:row>
      <xdr:rowOff>0</xdr:rowOff>
    </xdr:from>
    <xdr:to>
      <xdr:col>11</xdr:col>
      <xdr:colOff>276225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69.885846759258" createdVersion="6" refreshedVersion="6" minRefreshableVersion="3" recordCount="649" xr:uid="{00000000-000A-0000-FFFF-FFFF06000000}">
  <cacheSource type="worksheet">
    <worksheetSource name="StudentData"/>
  </cacheSource>
  <cacheFields count="41">
    <cacheField name="school" numFmtId="0">
      <sharedItems/>
    </cacheField>
    <cacheField name="sex" numFmtId="0">
      <sharedItems/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/>
    </cacheField>
    <cacheField name="Fedu" numFmtId="0">
      <sharedItems containsSemiMixedTypes="0" containsString="0" containsNumber="1" containsInteger="1" minValue="0" maxValue="4"/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/>
    </cacheField>
    <cacheField name="failures" numFmtId="0">
      <sharedItems containsSemiMixedTypes="0" containsString="0" containsNumber="1" containsInteger="1" minValue="0" maxValue="3"/>
    </cacheField>
    <cacheField name="schoolsup" numFmtId="0">
      <sharedItems/>
    </cacheField>
    <cacheField name="famsup" numFmtId="0">
      <sharedItems/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/>
    </cacheField>
    <cacheField name="internet" numFmtId="0">
      <sharedItems/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32"/>
    </cacheField>
    <cacheField name="G1" numFmtId="0">
      <sharedItems containsSemiMixedTypes="0" containsString="0" containsNumber="1" containsInteger="1" minValue="0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19" count="17">
        <n v="11"/>
        <n v="12"/>
        <n v="14"/>
        <n v="13"/>
        <n v="17"/>
        <n v="15"/>
        <n v="7"/>
        <n v="10"/>
        <n v="16"/>
        <n v="9"/>
        <n v="8"/>
        <n v="18"/>
        <n v="6"/>
        <n v="0"/>
        <n v="1"/>
        <n v="5"/>
        <n v="19"/>
      </sharedItems>
    </cacheField>
    <cacheField name="Result" numFmtId="0">
      <sharedItems/>
    </cacheField>
    <cacheField name="GradeDrop" numFmtId="0">
      <sharedItems containsSemiMixedTypes="0" containsString="0" containsNumber="1" containsInteger="1" minValue="0" maxValue="1"/>
    </cacheField>
    <cacheField name="FailureScore" numFmtId="0">
      <sharedItems containsSemiMixedTypes="0" containsString="0" containsNumber="1" containsInteger="1" minValue="0" maxValue="100"/>
    </cacheField>
    <cacheField name="AbsenceScore" numFmtId="0">
      <sharedItems containsSemiMixedTypes="0" containsString="0" containsNumber="1" containsInteger="1" minValue="0" maxValue="80"/>
    </cacheField>
    <cacheField name="StudyRisk" numFmtId="0">
      <sharedItems containsSemiMixedTypes="0" containsString="0" containsNumber="1" containsInteger="1" minValue="0" maxValue="70"/>
    </cacheField>
    <cacheField name="TrendRisk" numFmtId="0">
      <sharedItems containsSemiMixedTypes="0" containsString="0" containsNumber="1" containsInteger="1" minValue="0" maxValue="50"/>
    </cacheField>
    <cacheField name="RiskIndex" numFmtId="0">
      <sharedItems containsSemiMixedTypes="0" containsString="0" containsNumber="1" containsInteger="1" minValue="0" maxValue="74"/>
    </cacheField>
    <cacheField name="RiskCategory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9">
  <r>
    <s v="GP"/>
    <s v="F"/>
    <n v="18"/>
    <s v="U"/>
    <s v="GT3"/>
    <s v="A"/>
    <n v="4"/>
    <n v="4"/>
    <s v="at_home"/>
    <s v="teacher"/>
    <s v="course"/>
    <s v="mother"/>
    <n v="2"/>
    <n v="2"/>
    <n v="0"/>
    <s v="yes"/>
    <s v="no"/>
    <s v="no"/>
    <s v="no"/>
    <s v="yes"/>
    <s v="yes"/>
    <s v="no"/>
    <s v="no"/>
    <n v="4"/>
    <n v="3"/>
    <n v="4"/>
    <n v="1"/>
    <n v="1"/>
    <n v="3"/>
    <n v="4"/>
    <n v="0"/>
    <n v="11"/>
    <x v="0"/>
    <s v="Pass"/>
    <n v="0"/>
    <n v="0"/>
    <n v="0"/>
    <n v="40"/>
    <n v="0"/>
    <n v="8"/>
    <x v="0"/>
  </r>
  <r>
    <s v="GP"/>
    <s v="F"/>
    <n v="17"/>
    <s v="U"/>
    <s v="GT3"/>
    <s v="T"/>
    <n v="1"/>
    <n v="1"/>
    <s v="at_home"/>
    <s v="other"/>
    <s v="course"/>
    <s v="father"/>
    <n v="1"/>
    <n v="2"/>
    <n v="0"/>
    <s v="no"/>
    <s v="yes"/>
    <s v="no"/>
    <s v="no"/>
    <s v="no"/>
    <s v="yes"/>
    <s v="yes"/>
    <s v="no"/>
    <n v="5"/>
    <n v="3"/>
    <n v="3"/>
    <n v="1"/>
    <n v="1"/>
    <n v="3"/>
    <n v="2"/>
    <n v="9"/>
    <n v="11"/>
    <x v="0"/>
    <s v="Pass"/>
    <n v="0"/>
    <n v="0"/>
    <n v="0"/>
    <n v="40"/>
    <n v="0"/>
    <n v="8"/>
    <x v="0"/>
  </r>
  <r>
    <s v="GP"/>
    <s v="F"/>
    <n v="15"/>
    <s v="U"/>
    <s v="LE3"/>
    <s v="T"/>
    <n v="1"/>
    <n v="1"/>
    <s v="at_home"/>
    <s v="other"/>
    <s v="other"/>
    <s v="mother"/>
    <n v="1"/>
    <n v="2"/>
    <n v="0"/>
    <s v="yes"/>
    <s v="no"/>
    <s v="no"/>
    <s v="no"/>
    <s v="yes"/>
    <s v="yes"/>
    <s v="yes"/>
    <s v="no"/>
    <n v="4"/>
    <n v="3"/>
    <n v="2"/>
    <n v="2"/>
    <n v="3"/>
    <n v="3"/>
    <n v="6"/>
    <n v="12"/>
    <n v="13"/>
    <x v="1"/>
    <s v="Pass"/>
    <n v="1"/>
    <n v="0"/>
    <n v="0"/>
    <n v="40"/>
    <n v="50"/>
    <n v="13"/>
    <x v="0"/>
  </r>
  <r>
    <s v="GP"/>
    <s v="F"/>
    <n v="15"/>
    <s v="U"/>
    <s v="GT3"/>
    <s v="T"/>
    <n v="4"/>
    <n v="2"/>
    <s v="health"/>
    <s v="services"/>
    <s v="home"/>
    <s v="mother"/>
    <n v="1"/>
    <n v="3"/>
    <n v="0"/>
    <s v="no"/>
    <s v="yes"/>
    <s v="no"/>
    <s v="yes"/>
    <s v="yes"/>
    <s v="yes"/>
    <s v="yes"/>
    <s v="yes"/>
    <n v="3"/>
    <n v="2"/>
    <n v="2"/>
    <n v="1"/>
    <n v="1"/>
    <n v="5"/>
    <n v="0"/>
    <n v="14"/>
    <n v="14"/>
    <x v="2"/>
    <s v="Pass"/>
    <n v="0"/>
    <n v="0"/>
    <n v="0"/>
    <n v="0"/>
    <n v="0"/>
    <n v="0"/>
    <x v="0"/>
  </r>
  <r>
    <s v="GP"/>
    <s v="F"/>
    <n v="16"/>
    <s v="U"/>
    <s v="GT3"/>
    <s v="T"/>
    <n v="3"/>
    <n v="3"/>
    <s v="other"/>
    <s v="other"/>
    <s v="home"/>
    <s v="father"/>
    <n v="1"/>
    <n v="2"/>
    <n v="0"/>
    <s v="no"/>
    <s v="yes"/>
    <s v="no"/>
    <s v="no"/>
    <s v="yes"/>
    <s v="yes"/>
    <s v="no"/>
    <s v="no"/>
    <n v="4"/>
    <n v="3"/>
    <n v="2"/>
    <n v="1"/>
    <n v="2"/>
    <n v="5"/>
    <n v="0"/>
    <n v="11"/>
    <n v="13"/>
    <x v="3"/>
    <s v="Pass"/>
    <n v="0"/>
    <n v="0"/>
    <n v="0"/>
    <n v="40"/>
    <n v="0"/>
    <n v="8"/>
    <x v="0"/>
  </r>
  <r>
    <s v="GP"/>
    <s v="M"/>
    <n v="16"/>
    <s v="U"/>
    <s v="LE3"/>
    <s v="T"/>
    <n v="4"/>
    <n v="3"/>
    <s v="services"/>
    <s v="other"/>
    <s v="reputation"/>
    <s v="mother"/>
    <n v="1"/>
    <n v="2"/>
    <n v="0"/>
    <s v="no"/>
    <s v="yes"/>
    <s v="no"/>
    <s v="yes"/>
    <s v="yes"/>
    <s v="yes"/>
    <s v="yes"/>
    <s v="no"/>
    <n v="5"/>
    <n v="4"/>
    <n v="2"/>
    <n v="1"/>
    <n v="2"/>
    <n v="5"/>
    <n v="6"/>
    <n v="12"/>
    <n v="12"/>
    <x v="3"/>
    <s v="Pass"/>
    <n v="0"/>
    <n v="0"/>
    <n v="0"/>
    <n v="40"/>
    <n v="0"/>
    <n v="8"/>
    <x v="0"/>
  </r>
  <r>
    <s v="GP"/>
    <s v="M"/>
    <n v="16"/>
    <s v="U"/>
    <s v="LE3"/>
    <s v="T"/>
    <n v="2"/>
    <n v="2"/>
    <s v="other"/>
    <s v="other"/>
    <s v="home"/>
    <s v="mother"/>
    <n v="1"/>
    <n v="2"/>
    <n v="0"/>
    <s v="no"/>
    <s v="no"/>
    <s v="no"/>
    <s v="no"/>
    <s v="yes"/>
    <s v="yes"/>
    <s v="yes"/>
    <s v="no"/>
    <n v="4"/>
    <n v="4"/>
    <n v="4"/>
    <n v="1"/>
    <n v="1"/>
    <n v="3"/>
    <n v="0"/>
    <n v="13"/>
    <n v="12"/>
    <x v="3"/>
    <s v="Pass"/>
    <n v="0"/>
    <n v="0"/>
    <n v="0"/>
    <n v="40"/>
    <n v="0"/>
    <n v="8"/>
    <x v="0"/>
  </r>
  <r>
    <s v="GP"/>
    <s v="F"/>
    <n v="17"/>
    <s v="U"/>
    <s v="GT3"/>
    <s v="A"/>
    <n v="4"/>
    <n v="4"/>
    <s v="other"/>
    <s v="teacher"/>
    <s v="home"/>
    <s v="mother"/>
    <n v="2"/>
    <n v="2"/>
    <n v="0"/>
    <s v="yes"/>
    <s v="yes"/>
    <s v="no"/>
    <s v="no"/>
    <s v="yes"/>
    <s v="yes"/>
    <s v="no"/>
    <s v="no"/>
    <n v="4"/>
    <n v="1"/>
    <n v="4"/>
    <n v="1"/>
    <n v="1"/>
    <n v="1"/>
    <n v="2"/>
    <n v="10"/>
    <n v="13"/>
    <x v="3"/>
    <s v="Pass"/>
    <n v="0"/>
    <n v="0"/>
    <n v="0"/>
    <n v="40"/>
    <n v="0"/>
    <n v="8"/>
    <x v="0"/>
  </r>
  <r>
    <s v="GP"/>
    <s v="M"/>
    <n v="15"/>
    <s v="U"/>
    <s v="LE3"/>
    <s v="A"/>
    <n v="3"/>
    <n v="2"/>
    <s v="services"/>
    <s v="other"/>
    <s v="home"/>
    <s v="mother"/>
    <n v="1"/>
    <n v="2"/>
    <n v="0"/>
    <s v="no"/>
    <s v="yes"/>
    <s v="no"/>
    <s v="no"/>
    <s v="yes"/>
    <s v="yes"/>
    <s v="yes"/>
    <s v="no"/>
    <n v="4"/>
    <n v="2"/>
    <n v="2"/>
    <n v="1"/>
    <n v="1"/>
    <n v="1"/>
    <n v="0"/>
    <n v="15"/>
    <n v="16"/>
    <x v="4"/>
    <s v="Pass"/>
    <n v="0"/>
    <n v="0"/>
    <n v="0"/>
    <n v="40"/>
    <n v="0"/>
    <n v="8"/>
    <x v="0"/>
  </r>
  <r>
    <s v="GP"/>
    <s v="M"/>
    <n v="15"/>
    <s v="U"/>
    <s v="GT3"/>
    <s v="T"/>
    <n v="3"/>
    <n v="4"/>
    <s v="other"/>
    <s v="other"/>
    <s v="home"/>
    <s v="mother"/>
    <n v="1"/>
    <n v="2"/>
    <n v="0"/>
    <s v="no"/>
    <s v="yes"/>
    <s v="no"/>
    <s v="yes"/>
    <s v="yes"/>
    <s v="yes"/>
    <s v="yes"/>
    <s v="no"/>
    <n v="5"/>
    <n v="5"/>
    <n v="1"/>
    <n v="1"/>
    <n v="1"/>
    <n v="5"/>
    <n v="0"/>
    <n v="12"/>
    <n v="12"/>
    <x v="3"/>
    <s v="Pass"/>
    <n v="0"/>
    <n v="0"/>
    <n v="0"/>
    <n v="40"/>
    <n v="0"/>
    <n v="8"/>
    <x v="0"/>
  </r>
  <r>
    <s v="GP"/>
    <s v="F"/>
    <n v="15"/>
    <s v="U"/>
    <s v="GT3"/>
    <s v="T"/>
    <n v="4"/>
    <n v="4"/>
    <s v="teacher"/>
    <s v="health"/>
    <s v="reputation"/>
    <s v="mother"/>
    <n v="1"/>
    <n v="2"/>
    <n v="0"/>
    <s v="no"/>
    <s v="yes"/>
    <s v="no"/>
    <s v="no"/>
    <s v="yes"/>
    <s v="yes"/>
    <s v="yes"/>
    <s v="no"/>
    <n v="3"/>
    <n v="3"/>
    <n v="3"/>
    <n v="1"/>
    <n v="2"/>
    <n v="2"/>
    <n v="2"/>
    <n v="14"/>
    <n v="14"/>
    <x v="2"/>
    <s v="Pass"/>
    <n v="0"/>
    <n v="0"/>
    <n v="0"/>
    <n v="40"/>
    <n v="0"/>
    <n v="8"/>
    <x v="0"/>
  </r>
  <r>
    <s v="GP"/>
    <s v="F"/>
    <n v="15"/>
    <s v="U"/>
    <s v="GT3"/>
    <s v="T"/>
    <n v="2"/>
    <n v="1"/>
    <s v="services"/>
    <s v="other"/>
    <s v="reputation"/>
    <s v="father"/>
    <n v="3"/>
    <n v="3"/>
    <n v="0"/>
    <s v="no"/>
    <s v="yes"/>
    <s v="no"/>
    <s v="yes"/>
    <s v="yes"/>
    <s v="yes"/>
    <s v="yes"/>
    <s v="no"/>
    <n v="5"/>
    <n v="2"/>
    <n v="2"/>
    <n v="1"/>
    <n v="1"/>
    <n v="4"/>
    <n v="0"/>
    <n v="10"/>
    <n v="12"/>
    <x v="3"/>
    <s v="Pass"/>
    <n v="0"/>
    <n v="0"/>
    <n v="0"/>
    <n v="0"/>
    <n v="0"/>
    <n v="0"/>
    <x v="0"/>
  </r>
  <r>
    <s v="GP"/>
    <s v="M"/>
    <n v="15"/>
    <s v="U"/>
    <s v="LE3"/>
    <s v="T"/>
    <n v="4"/>
    <n v="4"/>
    <s v="health"/>
    <s v="services"/>
    <s v="course"/>
    <s v="father"/>
    <n v="1"/>
    <n v="1"/>
    <n v="0"/>
    <s v="no"/>
    <s v="yes"/>
    <s v="no"/>
    <s v="yes"/>
    <s v="yes"/>
    <s v="yes"/>
    <s v="yes"/>
    <s v="no"/>
    <n v="4"/>
    <n v="3"/>
    <n v="3"/>
    <n v="1"/>
    <n v="3"/>
    <n v="5"/>
    <n v="0"/>
    <n v="12"/>
    <n v="13"/>
    <x v="1"/>
    <s v="Pass"/>
    <n v="1"/>
    <n v="0"/>
    <n v="0"/>
    <n v="70"/>
    <n v="50"/>
    <n v="19"/>
    <x v="0"/>
  </r>
  <r>
    <s v="GP"/>
    <s v="M"/>
    <n v="15"/>
    <s v="U"/>
    <s v="GT3"/>
    <s v="T"/>
    <n v="4"/>
    <n v="3"/>
    <s v="teacher"/>
    <s v="other"/>
    <s v="course"/>
    <s v="mother"/>
    <n v="2"/>
    <n v="2"/>
    <n v="0"/>
    <s v="no"/>
    <s v="yes"/>
    <s v="no"/>
    <s v="no"/>
    <s v="yes"/>
    <s v="yes"/>
    <s v="yes"/>
    <s v="no"/>
    <n v="5"/>
    <n v="4"/>
    <n v="3"/>
    <n v="1"/>
    <n v="2"/>
    <n v="3"/>
    <n v="0"/>
    <n v="12"/>
    <n v="12"/>
    <x v="3"/>
    <s v="Pass"/>
    <n v="0"/>
    <n v="0"/>
    <n v="0"/>
    <n v="40"/>
    <n v="0"/>
    <n v="8"/>
    <x v="0"/>
  </r>
  <r>
    <s v="GP"/>
    <s v="M"/>
    <n v="15"/>
    <s v="U"/>
    <s v="GT3"/>
    <s v="A"/>
    <n v="2"/>
    <n v="2"/>
    <s v="other"/>
    <s v="other"/>
    <s v="home"/>
    <s v="other"/>
    <n v="1"/>
    <n v="3"/>
    <n v="0"/>
    <s v="no"/>
    <s v="yes"/>
    <s v="no"/>
    <s v="no"/>
    <s v="yes"/>
    <s v="yes"/>
    <s v="yes"/>
    <s v="yes"/>
    <n v="4"/>
    <n v="5"/>
    <n v="2"/>
    <n v="1"/>
    <n v="1"/>
    <n v="3"/>
    <n v="0"/>
    <n v="14"/>
    <n v="14"/>
    <x v="5"/>
    <s v="Pass"/>
    <n v="0"/>
    <n v="0"/>
    <n v="0"/>
    <n v="0"/>
    <n v="0"/>
    <n v="0"/>
    <x v="0"/>
  </r>
  <r>
    <s v="GP"/>
    <s v="F"/>
    <n v="16"/>
    <s v="U"/>
    <s v="GT3"/>
    <s v="T"/>
    <n v="4"/>
    <n v="4"/>
    <s v="health"/>
    <s v="other"/>
    <s v="home"/>
    <s v="mother"/>
    <n v="1"/>
    <n v="1"/>
    <n v="0"/>
    <s v="no"/>
    <s v="yes"/>
    <s v="no"/>
    <s v="no"/>
    <s v="yes"/>
    <s v="yes"/>
    <s v="yes"/>
    <s v="no"/>
    <n v="4"/>
    <n v="4"/>
    <n v="4"/>
    <n v="1"/>
    <n v="2"/>
    <n v="2"/>
    <n v="6"/>
    <n v="17"/>
    <n v="17"/>
    <x v="4"/>
    <s v="Pass"/>
    <n v="0"/>
    <n v="0"/>
    <n v="0"/>
    <n v="70"/>
    <n v="0"/>
    <n v="14"/>
    <x v="0"/>
  </r>
  <r>
    <s v="GP"/>
    <s v="F"/>
    <n v="16"/>
    <s v="U"/>
    <s v="GT3"/>
    <s v="T"/>
    <n v="4"/>
    <n v="4"/>
    <s v="services"/>
    <s v="services"/>
    <s v="reputation"/>
    <s v="mother"/>
    <n v="1"/>
    <n v="3"/>
    <n v="0"/>
    <s v="no"/>
    <s v="yes"/>
    <s v="no"/>
    <s v="yes"/>
    <s v="yes"/>
    <s v="yes"/>
    <s v="yes"/>
    <s v="no"/>
    <n v="3"/>
    <n v="2"/>
    <n v="3"/>
    <n v="1"/>
    <n v="2"/>
    <n v="2"/>
    <n v="10"/>
    <n v="13"/>
    <n v="13"/>
    <x v="2"/>
    <s v="Pass"/>
    <n v="0"/>
    <n v="0"/>
    <n v="0"/>
    <n v="0"/>
    <n v="0"/>
    <n v="0"/>
    <x v="0"/>
  </r>
  <r>
    <s v="GP"/>
    <s v="F"/>
    <n v="16"/>
    <s v="U"/>
    <s v="GT3"/>
    <s v="T"/>
    <n v="3"/>
    <n v="3"/>
    <s v="other"/>
    <s v="other"/>
    <s v="reputation"/>
    <s v="mother"/>
    <n v="3"/>
    <n v="2"/>
    <n v="0"/>
    <s v="yes"/>
    <s v="yes"/>
    <s v="no"/>
    <s v="yes"/>
    <s v="yes"/>
    <s v="yes"/>
    <s v="no"/>
    <s v="no"/>
    <n v="5"/>
    <n v="3"/>
    <n v="2"/>
    <n v="1"/>
    <n v="1"/>
    <n v="4"/>
    <n v="2"/>
    <n v="13"/>
    <n v="14"/>
    <x v="2"/>
    <s v="Pass"/>
    <n v="0"/>
    <n v="0"/>
    <n v="0"/>
    <n v="40"/>
    <n v="0"/>
    <n v="8"/>
    <x v="0"/>
  </r>
  <r>
    <s v="GP"/>
    <s v="M"/>
    <n v="17"/>
    <s v="U"/>
    <s v="GT3"/>
    <s v="T"/>
    <n v="3"/>
    <n v="2"/>
    <s v="services"/>
    <s v="services"/>
    <s v="course"/>
    <s v="mother"/>
    <n v="1"/>
    <n v="1"/>
    <n v="3"/>
    <s v="no"/>
    <s v="yes"/>
    <s v="yes"/>
    <s v="yes"/>
    <s v="yes"/>
    <s v="yes"/>
    <s v="yes"/>
    <s v="no"/>
    <n v="5"/>
    <n v="5"/>
    <n v="5"/>
    <n v="2"/>
    <n v="4"/>
    <n v="5"/>
    <n v="2"/>
    <n v="8"/>
    <n v="8"/>
    <x v="6"/>
    <s v="Fail"/>
    <n v="1"/>
    <n v="100"/>
    <n v="0"/>
    <n v="70"/>
    <n v="50"/>
    <n v="59"/>
    <x v="1"/>
  </r>
  <r>
    <s v="GP"/>
    <s v="M"/>
    <n v="16"/>
    <s v="U"/>
    <s v="LE3"/>
    <s v="T"/>
    <n v="4"/>
    <n v="3"/>
    <s v="health"/>
    <s v="other"/>
    <s v="home"/>
    <s v="father"/>
    <n v="1"/>
    <n v="1"/>
    <n v="0"/>
    <s v="no"/>
    <s v="no"/>
    <s v="no"/>
    <s v="yes"/>
    <s v="yes"/>
    <s v="yes"/>
    <s v="yes"/>
    <s v="no"/>
    <n v="3"/>
    <n v="1"/>
    <n v="3"/>
    <n v="1"/>
    <n v="3"/>
    <n v="5"/>
    <n v="6"/>
    <n v="12"/>
    <n v="12"/>
    <x v="1"/>
    <s v="Pass"/>
    <n v="0"/>
    <n v="0"/>
    <n v="0"/>
    <n v="70"/>
    <n v="0"/>
    <n v="14"/>
    <x v="0"/>
  </r>
  <r>
    <s v="GP"/>
    <s v="M"/>
    <n v="15"/>
    <s v="U"/>
    <s v="GT3"/>
    <s v="T"/>
    <n v="4"/>
    <n v="3"/>
    <s v="teacher"/>
    <s v="other"/>
    <s v="reputation"/>
    <s v="mother"/>
    <n v="1"/>
    <n v="2"/>
    <n v="0"/>
    <s v="no"/>
    <s v="no"/>
    <s v="no"/>
    <s v="no"/>
    <s v="yes"/>
    <s v="yes"/>
    <s v="yes"/>
    <s v="no"/>
    <n v="4"/>
    <n v="4"/>
    <n v="1"/>
    <n v="1"/>
    <n v="1"/>
    <n v="1"/>
    <n v="0"/>
    <n v="12"/>
    <n v="13"/>
    <x v="2"/>
    <s v="Pass"/>
    <n v="0"/>
    <n v="0"/>
    <n v="0"/>
    <n v="40"/>
    <n v="0"/>
    <n v="8"/>
    <x v="0"/>
  </r>
  <r>
    <s v="GP"/>
    <s v="M"/>
    <n v="15"/>
    <s v="U"/>
    <s v="GT3"/>
    <s v="T"/>
    <n v="4"/>
    <n v="4"/>
    <s v="health"/>
    <s v="health"/>
    <s v="other"/>
    <s v="father"/>
    <n v="1"/>
    <n v="1"/>
    <n v="0"/>
    <s v="no"/>
    <s v="yes"/>
    <s v="yes"/>
    <s v="no"/>
    <s v="yes"/>
    <s v="yes"/>
    <s v="yes"/>
    <s v="no"/>
    <n v="5"/>
    <n v="4"/>
    <n v="2"/>
    <n v="1"/>
    <n v="1"/>
    <n v="5"/>
    <n v="0"/>
    <n v="11"/>
    <n v="12"/>
    <x v="1"/>
    <s v="Pass"/>
    <n v="0"/>
    <n v="0"/>
    <n v="0"/>
    <n v="70"/>
    <n v="0"/>
    <n v="14"/>
    <x v="0"/>
  </r>
  <r>
    <s v="GP"/>
    <s v="M"/>
    <n v="16"/>
    <s v="U"/>
    <s v="LE3"/>
    <s v="T"/>
    <n v="4"/>
    <n v="2"/>
    <s v="teacher"/>
    <s v="other"/>
    <s v="course"/>
    <s v="mother"/>
    <n v="1"/>
    <n v="2"/>
    <n v="0"/>
    <s v="no"/>
    <s v="no"/>
    <s v="no"/>
    <s v="yes"/>
    <s v="yes"/>
    <s v="yes"/>
    <s v="yes"/>
    <s v="no"/>
    <n v="4"/>
    <n v="5"/>
    <n v="1"/>
    <n v="1"/>
    <n v="3"/>
    <n v="5"/>
    <n v="0"/>
    <n v="12"/>
    <n v="13"/>
    <x v="2"/>
    <s v="Pass"/>
    <n v="0"/>
    <n v="0"/>
    <n v="0"/>
    <n v="40"/>
    <n v="0"/>
    <n v="8"/>
    <x v="0"/>
  </r>
  <r>
    <s v="GP"/>
    <s v="M"/>
    <n v="16"/>
    <s v="U"/>
    <s v="LE3"/>
    <s v="T"/>
    <n v="2"/>
    <n v="2"/>
    <s v="other"/>
    <s v="other"/>
    <s v="reputation"/>
    <s v="mother"/>
    <n v="2"/>
    <n v="2"/>
    <n v="0"/>
    <s v="no"/>
    <s v="yes"/>
    <s v="no"/>
    <s v="yes"/>
    <s v="yes"/>
    <s v="yes"/>
    <s v="yes"/>
    <s v="no"/>
    <n v="5"/>
    <n v="4"/>
    <n v="4"/>
    <n v="2"/>
    <n v="4"/>
    <n v="5"/>
    <n v="2"/>
    <n v="10"/>
    <n v="10"/>
    <x v="7"/>
    <s v="Pass"/>
    <n v="0"/>
    <n v="0"/>
    <n v="0"/>
    <n v="40"/>
    <n v="0"/>
    <n v="8"/>
    <x v="0"/>
  </r>
  <r>
    <s v="GP"/>
    <s v="F"/>
    <n v="15"/>
    <s v="R"/>
    <s v="GT3"/>
    <s v="T"/>
    <n v="2"/>
    <n v="4"/>
    <s v="services"/>
    <s v="health"/>
    <s v="course"/>
    <s v="mother"/>
    <n v="1"/>
    <n v="3"/>
    <n v="0"/>
    <s v="yes"/>
    <s v="yes"/>
    <s v="no"/>
    <s v="yes"/>
    <s v="yes"/>
    <s v="yes"/>
    <s v="yes"/>
    <s v="no"/>
    <n v="4"/>
    <n v="3"/>
    <n v="2"/>
    <n v="1"/>
    <n v="1"/>
    <n v="5"/>
    <n v="2"/>
    <n v="10"/>
    <n v="11"/>
    <x v="7"/>
    <s v="Pass"/>
    <n v="1"/>
    <n v="0"/>
    <n v="0"/>
    <n v="0"/>
    <n v="50"/>
    <n v="5"/>
    <x v="0"/>
  </r>
  <r>
    <s v="GP"/>
    <s v="F"/>
    <n v="16"/>
    <s v="U"/>
    <s v="GT3"/>
    <s v="T"/>
    <n v="2"/>
    <n v="2"/>
    <s v="services"/>
    <s v="services"/>
    <s v="home"/>
    <s v="mother"/>
    <n v="1"/>
    <n v="1"/>
    <n v="0"/>
    <s v="no"/>
    <s v="yes"/>
    <s v="no"/>
    <s v="no"/>
    <s v="no"/>
    <s v="yes"/>
    <s v="yes"/>
    <s v="no"/>
    <n v="1"/>
    <n v="2"/>
    <n v="2"/>
    <n v="1"/>
    <n v="3"/>
    <n v="5"/>
    <n v="6"/>
    <n v="10"/>
    <n v="11"/>
    <x v="1"/>
    <s v="Pass"/>
    <n v="0"/>
    <n v="0"/>
    <n v="0"/>
    <n v="70"/>
    <n v="0"/>
    <n v="14"/>
    <x v="0"/>
  </r>
  <r>
    <s v="GP"/>
    <s v="M"/>
    <n v="15"/>
    <s v="U"/>
    <s v="GT3"/>
    <s v="T"/>
    <n v="2"/>
    <n v="2"/>
    <s v="other"/>
    <s v="other"/>
    <s v="home"/>
    <s v="mother"/>
    <n v="1"/>
    <n v="1"/>
    <n v="0"/>
    <s v="no"/>
    <s v="yes"/>
    <s v="no"/>
    <s v="no"/>
    <s v="yes"/>
    <s v="yes"/>
    <s v="yes"/>
    <s v="no"/>
    <n v="4"/>
    <n v="2"/>
    <n v="2"/>
    <n v="1"/>
    <n v="2"/>
    <n v="5"/>
    <n v="8"/>
    <n v="11"/>
    <n v="12"/>
    <x v="1"/>
    <s v="Pass"/>
    <n v="0"/>
    <n v="0"/>
    <n v="0"/>
    <n v="70"/>
    <n v="0"/>
    <n v="14"/>
    <x v="0"/>
  </r>
  <r>
    <s v="GP"/>
    <s v="M"/>
    <n v="15"/>
    <s v="U"/>
    <s v="GT3"/>
    <s v="T"/>
    <n v="4"/>
    <n v="2"/>
    <s v="health"/>
    <s v="services"/>
    <s v="other"/>
    <s v="mother"/>
    <n v="1"/>
    <n v="1"/>
    <n v="0"/>
    <s v="no"/>
    <s v="no"/>
    <s v="no"/>
    <s v="no"/>
    <s v="yes"/>
    <s v="yes"/>
    <s v="yes"/>
    <s v="no"/>
    <n v="2"/>
    <n v="2"/>
    <n v="4"/>
    <n v="2"/>
    <n v="4"/>
    <n v="1"/>
    <n v="0"/>
    <n v="11"/>
    <n v="11"/>
    <x v="0"/>
    <s v="Pass"/>
    <n v="0"/>
    <n v="0"/>
    <n v="0"/>
    <n v="70"/>
    <n v="0"/>
    <n v="14"/>
    <x v="0"/>
  </r>
  <r>
    <s v="GP"/>
    <s v="M"/>
    <n v="16"/>
    <s v="U"/>
    <s v="LE3"/>
    <s v="A"/>
    <n v="3"/>
    <n v="4"/>
    <s v="services"/>
    <s v="other"/>
    <s v="home"/>
    <s v="mother"/>
    <n v="1"/>
    <n v="2"/>
    <n v="0"/>
    <s v="yes"/>
    <s v="yes"/>
    <s v="yes"/>
    <s v="yes"/>
    <s v="yes"/>
    <s v="yes"/>
    <s v="yes"/>
    <s v="no"/>
    <n v="5"/>
    <n v="3"/>
    <n v="3"/>
    <n v="1"/>
    <n v="1"/>
    <n v="5"/>
    <n v="2"/>
    <n v="12"/>
    <n v="12"/>
    <x v="3"/>
    <s v="Pass"/>
    <n v="0"/>
    <n v="0"/>
    <n v="0"/>
    <n v="40"/>
    <n v="0"/>
    <n v="8"/>
    <x v="0"/>
  </r>
  <r>
    <s v="GP"/>
    <s v="M"/>
    <n v="16"/>
    <s v="U"/>
    <s v="GT3"/>
    <s v="T"/>
    <n v="4"/>
    <n v="4"/>
    <s v="teacher"/>
    <s v="teacher"/>
    <s v="home"/>
    <s v="mother"/>
    <n v="1"/>
    <n v="2"/>
    <n v="0"/>
    <s v="no"/>
    <s v="yes"/>
    <s v="yes"/>
    <s v="yes"/>
    <s v="yes"/>
    <s v="yes"/>
    <s v="yes"/>
    <s v="yes"/>
    <n v="4"/>
    <n v="4"/>
    <n v="5"/>
    <n v="5"/>
    <n v="5"/>
    <n v="5"/>
    <n v="4"/>
    <n v="12"/>
    <n v="11"/>
    <x v="1"/>
    <s v="Pass"/>
    <n v="0"/>
    <n v="0"/>
    <n v="0"/>
    <n v="40"/>
    <n v="0"/>
    <n v="8"/>
    <x v="0"/>
  </r>
  <r>
    <s v="GP"/>
    <s v="M"/>
    <n v="15"/>
    <s v="U"/>
    <s v="GT3"/>
    <s v="T"/>
    <n v="4"/>
    <n v="4"/>
    <s v="health"/>
    <s v="services"/>
    <s v="home"/>
    <s v="mother"/>
    <n v="1"/>
    <n v="2"/>
    <n v="0"/>
    <s v="no"/>
    <s v="yes"/>
    <s v="yes"/>
    <s v="no"/>
    <s v="no"/>
    <s v="yes"/>
    <s v="yes"/>
    <s v="no"/>
    <n v="5"/>
    <n v="4"/>
    <n v="2"/>
    <n v="3"/>
    <n v="4"/>
    <n v="5"/>
    <n v="0"/>
    <n v="10"/>
    <n v="11"/>
    <x v="0"/>
    <s v="Pass"/>
    <n v="0"/>
    <n v="0"/>
    <n v="0"/>
    <n v="40"/>
    <n v="0"/>
    <n v="8"/>
    <x v="0"/>
  </r>
  <r>
    <s v="GP"/>
    <s v="M"/>
    <n v="15"/>
    <s v="U"/>
    <s v="GT3"/>
    <s v="T"/>
    <n v="4"/>
    <n v="4"/>
    <s v="services"/>
    <s v="services"/>
    <s v="reputation"/>
    <s v="mother"/>
    <n v="2"/>
    <n v="2"/>
    <n v="0"/>
    <s v="no"/>
    <s v="yes"/>
    <s v="no"/>
    <s v="yes"/>
    <s v="yes"/>
    <s v="yes"/>
    <s v="yes"/>
    <s v="no"/>
    <n v="4"/>
    <n v="3"/>
    <n v="1"/>
    <n v="1"/>
    <n v="1"/>
    <n v="5"/>
    <n v="2"/>
    <n v="15"/>
    <n v="15"/>
    <x v="5"/>
    <s v="Pass"/>
    <n v="0"/>
    <n v="0"/>
    <n v="0"/>
    <n v="40"/>
    <n v="0"/>
    <n v="8"/>
    <x v="0"/>
  </r>
  <r>
    <s v="GP"/>
    <s v="M"/>
    <n v="15"/>
    <s v="R"/>
    <s v="GT3"/>
    <s v="T"/>
    <n v="4"/>
    <n v="3"/>
    <s v="teacher"/>
    <s v="at_home"/>
    <s v="course"/>
    <s v="mother"/>
    <n v="1"/>
    <n v="2"/>
    <n v="0"/>
    <s v="no"/>
    <s v="yes"/>
    <s v="no"/>
    <s v="yes"/>
    <s v="yes"/>
    <s v="yes"/>
    <s v="yes"/>
    <s v="yes"/>
    <n v="4"/>
    <n v="5"/>
    <n v="2"/>
    <n v="1"/>
    <n v="1"/>
    <n v="5"/>
    <n v="0"/>
    <n v="13"/>
    <n v="14"/>
    <x v="5"/>
    <s v="Pass"/>
    <n v="0"/>
    <n v="0"/>
    <n v="0"/>
    <n v="40"/>
    <n v="0"/>
    <n v="8"/>
    <x v="0"/>
  </r>
  <r>
    <s v="GP"/>
    <s v="M"/>
    <n v="15"/>
    <s v="U"/>
    <s v="LE3"/>
    <s v="T"/>
    <n v="3"/>
    <n v="3"/>
    <s v="other"/>
    <s v="other"/>
    <s v="course"/>
    <s v="mother"/>
    <n v="1"/>
    <n v="2"/>
    <n v="0"/>
    <s v="no"/>
    <s v="no"/>
    <s v="no"/>
    <s v="yes"/>
    <s v="no"/>
    <s v="yes"/>
    <s v="yes"/>
    <s v="no"/>
    <n v="5"/>
    <n v="3"/>
    <n v="2"/>
    <n v="1"/>
    <n v="1"/>
    <n v="2"/>
    <n v="0"/>
    <n v="13"/>
    <n v="12"/>
    <x v="1"/>
    <s v="Pass"/>
    <n v="0"/>
    <n v="0"/>
    <n v="0"/>
    <n v="40"/>
    <n v="0"/>
    <n v="8"/>
    <x v="0"/>
  </r>
  <r>
    <s v="GP"/>
    <s v="M"/>
    <n v="16"/>
    <s v="U"/>
    <s v="GT3"/>
    <s v="T"/>
    <n v="3"/>
    <n v="2"/>
    <s v="other"/>
    <s v="other"/>
    <s v="home"/>
    <s v="mother"/>
    <n v="1"/>
    <n v="1"/>
    <n v="0"/>
    <s v="no"/>
    <s v="yes"/>
    <s v="no"/>
    <s v="no"/>
    <s v="no"/>
    <s v="yes"/>
    <s v="yes"/>
    <s v="no"/>
    <n v="5"/>
    <n v="4"/>
    <n v="3"/>
    <n v="1"/>
    <n v="1"/>
    <n v="5"/>
    <n v="4"/>
    <n v="12"/>
    <n v="12"/>
    <x v="1"/>
    <s v="Pass"/>
    <n v="0"/>
    <n v="0"/>
    <n v="0"/>
    <n v="70"/>
    <n v="0"/>
    <n v="14"/>
    <x v="0"/>
  </r>
  <r>
    <s v="GP"/>
    <s v="F"/>
    <n v="15"/>
    <s v="U"/>
    <s v="GT3"/>
    <s v="T"/>
    <n v="2"/>
    <n v="3"/>
    <s v="other"/>
    <s v="other"/>
    <s v="other"/>
    <s v="father"/>
    <n v="2"/>
    <n v="1"/>
    <n v="0"/>
    <s v="no"/>
    <s v="yes"/>
    <s v="no"/>
    <s v="yes"/>
    <s v="yes"/>
    <s v="yes"/>
    <s v="no"/>
    <s v="no"/>
    <n v="3"/>
    <n v="5"/>
    <n v="1"/>
    <n v="1"/>
    <n v="1"/>
    <n v="5"/>
    <n v="4"/>
    <n v="11"/>
    <n v="11"/>
    <x v="0"/>
    <s v="Pass"/>
    <n v="0"/>
    <n v="0"/>
    <n v="0"/>
    <n v="70"/>
    <n v="0"/>
    <n v="14"/>
    <x v="0"/>
  </r>
  <r>
    <s v="GP"/>
    <s v="M"/>
    <n v="15"/>
    <s v="U"/>
    <s v="LE3"/>
    <s v="T"/>
    <n v="4"/>
    <n v="3"/>
    <s v="teacher"/>
    <s v="services"/>
    <s v="home"/>
    <s v="mother"/>
    <n v="1"/>
    <n v="3"/>
    <n v="0"/>
    <s v="no"/>
    <s v="yes"/>
    <s v="no"/>
    <s v="yes"/>
    <s v="yes"/>
    <s v="yes"/>
    <s v="yes"/>
    <s v="no"/>
    <n v="5"/>
    <n v="4"/>
    <n v="3"/>
    <n v="1"/>
    <n v="1"/>
    <n v="4"/>
    <n v="0"/>
    <n v="14"/>
    <n v="14"/>
    <x v="2"/>
    <s v="Pass"/>
    <n v="0"/>
    <n v="0"/>
    <n v="0"/>
    <n v="0"/>
    <n v="0"/>
    <n v="0"/>
    <x v="0"/>
  </r>
  <r>
    <s v="GP"/>
    <s v="M"/>
    <n v="16"/>
    <s v="R"/>
    <s v="GT3"/>
    <s v="A"/>
    <n v="4"/>
    <n v="4"/>
    <s v="other"/>
    <s v="teacher"/>
    <s v="reputation"/>
    <s v="mother"/>
    <n v="2"/>
    <n v="3"/>
    <n v="0"/>
    <s v="no"/>
    <s v="yes"/>
    <s v="no"/>
    <s v="yes"/>
    <s v="yes"/>
    <s v="yes"/>
    <s v="yes"/>
    <s v="yes"/>
    <n v="2"/>
    <n v="4"/>
    <n v="3"/>
    <n v="1"/>
    <n v="1"/>
    <n v="5"/>
    <n v="4"/>
    <n v="13"/>
    <n v="13"/>
    <x v="3"/>
    <s v="Pass"/>
    <n v="0"/>
    <n v="0"/>
    <n v="0"/>
    <n v="0"/>
    <n v="0"/>
    <n v="0"/>
    <x v="0"/>
  </r>
  <r>
    <s v="GP"/>
    <s v="F"/>
    <n v="15"/>
    <s v="R"/>
    <s v="GT3"/>
    <s v="T"/>
    <n v="3"/>
    <n v="4"/>
    <s v="services"/>
    <s v="health"/>
    <s v="course"/>
    <s v="mother"/>
    <n v="1"/>
    <n v="3"/>
    <n v="0"/>
    <s v="yes"/>
    <s v="yes"/>
    <s v="no"/>
    <s v="yes"/>
    <s v="yes"/>
    <s v="yes"/>
    <s v="yes"/>
    <s v="no"/>
    <n v="4"/>
    <n v="3"/>
    <n v="2"/>
    <n v="1"/>
    <n v="1"/>
    <n v="5"/>
    <n v="2"/>
    <n v="11"/>
    <n v="12"/>
    <x v="1"/>
    <s v="Pass"/>
    <n v="0"/>
    <n v="0"/>
    <n v="0"/>
    <n v="0"/>
    <n v="0"/>
    <n v="0"/>
    <x v="0"/>
  </r>
  <r>
    <s v="GP"/>
    <s v="F"/>
    <n v="15"/>
    <s v="R"/>
    <s v="GT3"/>
    <s v="T"/>
    <n v="2"/>
    <n v="2"/>
    <s v="at_home"/>
    <s v="other"/>
    <s v="reputation"/>
    <s v="mother"/>
    <n v="1"/>
    <n v="1"/>
    <n v="0"/>
    <s v="yes"/>
    <s v="yes"/>
    <s v="no"/>
    <s v="yes"/>
    <s v="yes"/>
    <s v="yes"/>
    <s v="no"/>
    <s v="no"/>
    <n v="4"/>
    <n v="3"/>
    <n v="1"/>
    <n v="1"/>
    <n v="1"/>
    <n v="2"/>
    <n v="8"/>
    <n v="14"/>
    <n v="13"/>
    <x v="1"/>
    <s v="Pass"/>
    <n v="1"/>
    <n v="0"/>
    <n v="0"/>
    <n v="70"/>
    <n v="50"/>
    <n v="19"/>
    <x v="0"/>
  </r>
  <r>
    <s v="GP"/>
    <s v="F"/>
    <n v="16"/>
    <s v="U"/>
    <s v="LE3"/>
    <s v="T"/>
    <n v="2"/>
    <n v="2"/>
    <s v="other"/>
    <s v="other"/>
    <s v="home"/>
    <s v="mother"/>
    <n v="2"/>
    <n v="2"/>
    <n v="0"/>
    <s v="no"/>
    <s v="yes"/>
    <s v="no"/>
    <s v="yes"/>
    <s v="no"/>
    <s v="yes"/>
    <s v="yes"/>
    <s v="yes"/>
    <n v="3"/>
    <n v="3"/>
    <n v="3"/>
    <n v="1"/>
    <n v="2"/>
    <n v="3"/>
    <n v="16"/>
    <n v="11"/>
    <n v="11"/>
    <x v="7"/>
    <s v="Pass"/>
    <n v="1"/>
    <n v="0"/>
    <n v="80"/>
    <n v="40"/>
    <n v="50"/>
    <n v="37"/>
    <x v="1"/>
  </r>
  <r>
    <s v="GP"/>
    <s v="M"/>
    <n v="15"/>
    <s v="U"/>
    <s v="LE3"/>
    <s v="T"/>
    <n v="4"/>
    <n v="4"/>
    <s v="teacher"/>
    <s v="other"/>
    <s v="home"/>
    <s v="other"/>
    <n v="1"/>
    <n v="1"/>
    <n v="0"/>
    <s v="no"/>
    <s v="yes"/>
    <s v="no"/>
    <s v="no"/>
    <s v="no"/>
    <s v="yes"/>
    <s v="yes"/>
    <s v="yes"/>
    <n v="5"/>
    <n v="4"/>
    <n v="3"/>
    <n v="2"/>
    <n v="4"/>
    <n v="5"/>
    <n v="8"/>
    <n v="10"/>
    <n v="11"/>
    <x v="0"/>
    <s v="Pass"/>
    <n v="0"/>
    <n v="0"/>
    <n v="0"/>
    <n v="70"/>
    <n v="0"/>
    <n v="14"/>
    <x v="0"/>
  </r>
  <r>
    <s v="GP"/>
    <s v="M"/>
    <n v="15"/>
    <s v="U"/>
    <s v="GT3"/>
    <s v="T"/>
    <n v="4"/>
    <n v="4"/>
    <s v="services"/>
    <s v="teacher"/>
    <s v="course"/>
    <s v="father"/>
    <n v="1"/>
    <n v="2"/>
    <n v="0"/>
    <s v="no"/>
    <s v="yes"/>
    <s v="no"/>
    <s v="yes"/>
    <s v="yes"/>
    <s v="yes"/>
    <s v="yes"/>
    <s v="no"/>
    <n v="4"/>
    <n v="3"/>
    <n v="3"/>
    <n v="1"/>
    <n v="1"/>
    <n v="5"/>
    <n v="0"/>
    <n v="14"/>
    <n v="15"/>
    <x v="5"/>
    <s v="Pass"/>
    <n v="0"/>
    <n v="0"/>
    <n v="0"/>
    <n v="40"/>
    <n v="0"/>
    <n v="8"/>
    <x v="0"/>
  </r>
  <r>
    <s v="GP"/>
    <s v="M"/>
    <n v="15"/>
    <s v="U"/>
    <s v="GT3"/>
    <s v="T"/>
    <n v="2"/>
    <n v="2"/>
    <s v="services"/>
    <s v="services"/>
    <s v="course"/>
    <s v="father"/>
    <n v="1"/>
    <n v="1"/>
    <n v="0"/>
    <s v="yes"/>
    <s v="yes"/>
    <s v="no"/>
    <s v="no"/>
    <s v="yes"/>
    <s v="yes"/>
    <s v="yes"/>
    <s v="no"/>
    <n v="5"/>
    <n v="4"/>
    <n v="1"/>
    <n v="1"/>
    <n v="1"/>
    <n v="1"/>
    <n v="0"/>
    <n v="9"/>
    <n v="10"/>
    <x v="7"/>
    <s v="Pass"/>
    <n v="0"/>
    <n v="0"/>
    <n v="0"/>
    <n v="70"/>
    <n v="0"/>
    <n v="14"/>
    <x v="0"/>
  </r>
  <r>
    <s v="GP"/>
    <s v="F"/>
    <n v="16"/>
    <s v="U"/>
    <s v="LE3"/>
    <s v="T"/>
    <n v="2"/>
    <n v="2"/>
    <s v="other"/>
    <s v="at_home"/>
    <s v="course"/>
    <s v="father"/>
    <n v="2"/>
    <n v="2"/>
    <n v="1"/>
    <s v="yes"/>
    <s v="no"/>
    <s v="no"/>
    <s v="yes"/>
    <s v="yes"/>
    <s v="yes"/>
    <s v="yes"/>
    <s v="no"/>
    <n v="4"/>
    <n v="3"/>
    <n v="3"/>
    <n v="2"/>
    <n v="2"/>
    <n v="5"/>
    <n v="14"/>
    <n v="10"/>
    <n v="11"/>
    <x v="0"/>
    <s v="Pass"/>
    <n v="0"/>
    <n v="60"/>
    <n v="50"/>
    <n v="40"/>
    <n v="0"/>
    <n v="47"/>
    <x v="1"/>
  </r>
  <r>
    <s v="GP"/>
    <s v="F"/>
    <n v="15"/>
    <s v="U"/>
    <s v="LE3"/>
    <s v="A"/>
    <n v="4"/>
    <n v="3"/>
    <s v="other"/>
    <s v="other"/>
    <s v="course"/>
    <s v="mother"/>
    <n v="1"/>
    <n v="2"/>
    <n v="0"/>
    <s v="yes"/>
    <s v="yes"/>
    <s v="yes"/>
    <s v="yes"/>
    <s v="yes"/>
    <s v="yes"/>
    <s v="yes"/>
    <s v="yes"/>
    <n v="5"/>
    <n v="2"/>
    <n v="2"/>
    <n v="1"/>
    <n v="1"/>
    <n v="5"/>
    <n v="4"/>
    <n v="10"/>
    <n v="11"/>
    <x v="0"/>
    <s v="Pass"/>
    <n v="0"/>
    <n v="0"/>
    <n v="0"/>
    <n v="40"/>
    <n v="0"/>
    <n v="8"/>
    <x v="0"/>
  </r>
  <r>
    <s v="GP"/>
    <s v="F"/>
    <n v="16"/>
    <s v="U"/>
    <s v="LE3"/>
    <s v="A"/>
    <n v="3"/>
    <n v="3"/>
    <s v="other"/>
    <s v="services"/>
    <s v="home"/>
    <s v="mother"/>
    <n v="1"/>
    <n v="2"/>
    <n v="0"/>
    <s v="no"/>
    <s v="yes"/>
    <s v="no"/>
    <s v="no"/>
    <s v="yes"/>
    <s v="yes"/>
    <s v="yes"/>
    <s v="no"/>
    <n v="2"/>
    <n v="3"/>
    <n v="5"/>
    <n v="1"/>
    <n v="4"/>
    <n v="3"/>
    <n v="6"/>
    <n v="13"/>
    <n v="12"/>
    <x v="3"/>
    <s v="Pass"/>
    <n v="0"/>
    <n v="0"/>
    <n v="0"/>
    <n v="40"/>
    <n v="0"/>
    <n v="8"/>
    <x v="0"/>
  </r>
  <r>
    <s v="GP"/>
    <s v="M"/>
    <n v="16"/>
    <s v="U"/>
    <s v="GT3"/>
    <s v="T"/>
    <n v="4"/>
    <n v="3"/>
    <s v="health"/>
    <s v="services"/>
    <s v="reputation"/>
    <s v="mother"/>
    <n v="1"/>
    <n v="4"/>
    <n v="0"/>
    <s v="no"/>
    <s v="no"/>
    <s v="no"/>
    <s v="yes"/>
    <s v="yes"/>
    <s v="yes"/>
    <s v="yes"/>
    <s v="no"/>
    <n v="4"/>
    <n v="2"/>
    <n v="2"/>
    <n v="1"/>
    <n v="1"/>
    <n v="2"/>
    <n v="2"/>
    <n v="17"/>
    <n v="17"/>
    <x v="4"/>
    <s v="Pass"/>
    <n v="0"/>
    <n v="0"/>
    <n v="0"/>
    <n v="0"/>
    <n v="0"/>
    <n v="0"/>
    <x v="0"/>
  </r>
  <r>
    <s v="GP"/>
    <s v="M"/>
    <n v="15"/>
    <s v="U"/>
    <s v="GT3"/>
    <s v="T"/>
    <n v="4"/>
    <n v="2"/>
    <s v="teacher"/>
    <s v="other"/>
    <s v="home"/>
    <s v="mother"/>
    <n v="1"/>
    <n v="2"/>
    <n v="0"/>
    <s v="no"/>
    <s v="yes"/>
    <s v="no"/>
    <s v="no"/>
    <s v="yes"/>
    <s v="yes"/>
    <s v="no"/>
    <s v="no"/>
    <n v="4"/>
    <n v="3"/>
    <n v="3"/>
    <n v="2"/>
    <n v="2"/>
    <n v="5"/>
    <n v="4"/>
    <n v="11"/>
    <n v="12"/>
    <x v="3"/>
    <s v="Pass"/>
    <n v="0"/>
    <n v="0"/>
    <n v="0"/>
    <n v="40"/>
    <n v="0"/>
    <n v="8"/>
    <x v="0"/>
  </r>
  <r>
    <s v="GP"/>
    <s v="F"/>
    <n v="15"/>
    <s v="U"/>
    <s v="GT3"/>
    <s v="T"/>
    <n v="4"/>
    <n v="4"/>
    <s v="services"/>
    <s v="teacher"/>
    <s v="other"/>
    <s v="father"/>
    <n v="1"/>
    <n v="2"/>
    <n v="0"/>
    <s v="yes"/>
    <s v="yes"/>
    <s v="no"/>
    <s v="yes"/>
    <s v="no"/>
    <s v="yes"/>
    <s v="yes"/>
    <s v="no"/>
    <n v="4"/>
    <n v="4"/>
    <n v="4"/>
    <n v="1"/>
    <n v="1"/>
    <n v="3"/>
    <n v="2"/>
    <n v="13"/>
    <n v="12"/>
    <x v="1"/>
    <s v="Pass"/>
    <n v="0"/>
    <n v="0"/>
    <n v="0"/>
    <n v="40"/>
    <n v="0"/>
    <n v="8"/>
    <x v="0"/>
  </r>
  <r>
    <s v="GP"/>
    <s v="F"/>
    <n v="16"/>
    <s v="U"/>
    <s v="LE3"/>
    <s v="T"/>
    <n v="2"/>
    <n v="2"/>
    <s v="services"/>
    <s v="services"/>
    <s v="course"/>
    <s v="mother"/>
    <n v="3"/>
    <n v="2"/>
    <n v="0"/>
    <s v="no"/>
    <s v="yes"/>
    <s v="no"/>
    <s v="no"/>
    <s v="yes"/>
    <s v="yes"/>
    <s v="yes"/>
    <s v="no"/>
    <n v="4"/>
    <n v="3"/>
    <n v="3"/>
    <n v="2"/>
    <n v="3"/>
    <n v="4"/>
    <n v="0"/>
    <n v="14"/>
    <n v="13"/>
    <x v="3"/>
    <s v="Pass"/>
    <n v="0"/>
    <n v="0"/>
    <n v="0"/>
    <n v="40"/>
    <n v="0"/>
    <n v="8"/>
    <x v="0"/>
  </r>
  <r>
    <s v="GP"/>
    <s v="F"/>
    <n v="15"/>
    <s v="U"/>
    <s v="LE3"/>
    <s v="T"/>
    <n v="4"/>
    <n v="2"/>
    <s v="health"/>
    <s v="other"/>
    <s v="other"/>
    <s v="mother"/>
    <n v="1"/>
    <n v="2"/>
    <n v="0"/>
    <s v="no"/>
    <s v="yes"/>
    <s v="no"/>
    <s v="no"/>
    <s v="yes"/>
    <s v="yes"/>
    <s v="yes"/>
    <s v="no"/>
    <n v="4"/>
    <n v="3"/>
    <n v="3"/>
    <n v="1"/>
    <n v="1"/>
    <n v="5"/>
    <n v="0"/>
    <n v="16"/>
    <n v="14"/>
    <x v="8"/>
    <s v="Pass"/>
    <n v="0"/>
    <n v="0"/>
    <n v="0"/>
    <n v="40"/>
    <n v="0"/>
    <n v="8"/>
    <x v="0"/>
  </r>
  <r>
    <s v="GP"/>
    <s v="M"/>
    <n v="15"/>
    <s v="U"/>
    <s v="LE3"/>
    <s v="A"/>
    <n v="4"/>
    <n v="2"/>
    <s v="health"/>
    <s v="health"/>
    <s v="other"/>
    <s v="father"/>
    <n v="2"/>
    <n v="1"/>
    <n v="0"/>
    <s v="no"/>
    <s v="no"/>
    <s v="no"/>
    <s v="no"/>
    <s v="yes"/>
    <s v="yes"/>
    <s v="no"/>
    <s v="no"/>
    <n v="5"/>
    <n v="5"/>
    <n v="5"/>
    <n v="3"/>
    <n v="4"/>
    <n v="5"/>
    <n v="4"/>
    <n v="10"/>
    <n v="9"/>
    <x v="9"/>
    <s v="Fail"/>
    <n v="0"/>
    <n v="0"/>
    <n v="0"/>
    <n v="70"/>
    <n v="0"/>
    <n v="14"/>
    <x v="0"/>
  </r>
  <r>
    <s v="GP"/>
    <s v="F"/>
    <n v="15"/>
    <s v="U"/>
    <s v="GT3"/>
    <s v="T"/>
    <n v="4"/>
    <n v="4"/>
    <s v="services"/>
    <s v="services"/>
    <s v="course"/>
    <s v="mother"/>
    <n v="1"/>
    <n v="1"/>
    <n v="0"/>
    <s v="yes"/>
    <s v="yes"/>
    <s v="no"/>
    <s v="no"/>
    <s v="yes"/>
    <s v="yes"/>
    <s v="yes"/>
    <s v="no"/>
    <n v="3"/>
    <n v="3"/>
    <n v="4"/>
    <n v="2"/>
    <n v="3"/>
    <n v="5"/>
    <n v="0"/>
    <n v="13"/>
    <n v="12"/>
    <x v="1"/>
    <s v="Pass"/>
    <n v="0"/>
    <n v="0"/>
    <n v="0"/>
    <n v="70"/>
    <n v="0"/>
    <n v="14"/>
    <x v="0"/>
  </r>
  <r>
    <s v="GP"/>
    <s v="F"/>
    <n v="15"/>
    <s v="U"/>
    <s v="LE3"/>
    <s v="A"/>
    <n v="3"/>
    <n v="3"/>
    <s v="other"/>
    <s v="other"/>
    <s v="other"/>
    <s v="mother"/>
    <n v="1"/>
    <n v="1"/>
    <n v="0"/>
    <s v="no"/>
    <s v="no"/>
    <s v="no"/>
    <s v="no"/>
    <s v="yes"/>
    <s v="yes"/>
    <s v="yes"/>
    <s v="no"/>
    <n v="5"/>
    <n v="3"/>
    <n v="4"/>
    <n v="4"/>
    <n v="4"/>
    <n v="1"/>
    <n v="0"/>
    <n v="13"/>
    <n v="12"/>
    <x v="3"/>
    <s v="Pass"/>
    <n v="0"/>
    <n v="0"/>
    <n v="0"/>
    <n v="70"/>
    <n v="0"/>
    <n v="14"/>
    <x v="0"/>
  </r>
  <r>
    <s v="GP"/>
    <s v="F"/>
    <n v="16"/>
    <s v="U"/>
    <s v="GT3"/>
    <s v="A"/>
    <n v="2"/>
    <n v="1"/>
    <s v="other"/>
    <s v="other"/>
    <s v="other"/>
    <s v="mother"/>
    <n v="1"/>
    <n v="2"/>
    <n v="0"/>
    <s v="no"/>
    <s v="no"/>
    <s v="no"/>
    <s v="yes"/>
    <s v="yes"/>
    <s v="yes"/>
    <s v="yes"/>
    <s v="yes"/>
    <n v="5"/>
    <n v="3"/>
    <n v="4"/>
    <n v="1"/>
    <n v="1"/>
    <n v="2"/>
    <n v="2"/>
    <n v="12"/>
    <n v="13"/>
    <x v="1"/>
    <s v="Pass"/>
    <n v="1"/>
    <n v="0"/>
    <n v="0"/>
    <n v="40"/>
    <n v="50"/>
    <n v="13"/>
    <x v="0"/>
  </r>
  <r>
    <s v="GP"/>
    <s v="F"/>
    <n v="15"/>
    <s v="U"/>
    <s v="GT3"/>
    <s v="A"/>
    <n v="4"/>
    <n v="3"/>
    <s v="services"/>
    <s v="services"/>
    <s v="reputation"/>
    <s v="mother"/>
    <n v="1"/>
    <n v="2"/>
    <n v="0"/>
    <s v="no"/>
    <s v="yes"/>
    <s v="no"/>
    <s v="yes"/>
    <s v="yes"/>
    <s v="yes"/>
    <s v="yes"/>
    <s v="no"/>
    <n v="4"/>
    <n v="3"/>
    <n v="2"/>
    <n v="1"/>
    <n v="1"/>
    <n v="1"/>
    <n v="0"/>
    <n v="15"/>
    <n v="14"/>
    <x v="5"/>
    <s v="Pass"/>
    <n v="0"/>
    <n v="0"/>
    <n v="0"/>
    <n v="40"/>
    <n v="0"/>
    <n v="8"/>
    <x v="0"/>
  </r>
  <r>
    <s v="GP"/>
    <s v="M"/>
    <n v="15"/>
    <s v="U"/>
    <s v="GT3"/>
    <s v="T"/>
    <n v="4"/>
    <n v="4"/>
    <s v="teacher"/>
    <s v="health"/>
    <s v="reputation"/>
    <s v="mother"/>
    <n v="1"/>
    <n v="2"/>
    <n v="0"/>
    <s v="no"/>
    <s v="yes"/>
    <s v="no"/>
    <s v="yes"/>
    <s v="yes"/>
    <s v="yes"/>
    <s v="no"/>
    <s v="no"/>
    <n v="3"/>
    <n v="2"/>
    <n v="2"/>
    <n v="1"/>
    <n v="1"/>
    <n v="5"/>
    <n v="8"/>
    <n v="15"/>
    <n v="15"/>
    <x v="8"/>
    <s v="Pass"/>
    <n v="0"/>
    <n v="0"/>
    <n v="0"/>
    <n v="40"/>
    <n v="0"/>
    <n v="8"/>
    <x v="0"/>
  </r>
  <r>
    <s v="GP"/>
    <s v="M"/>
    <n v="15"/>
    <s v="U"/>
    <s v="LE3"/>
    <s v="T"/>
    <n v="1"/>
    <n v="2"/>
    <s v="other"/>
    <s v="at_home"/>
    <s v="home"/>
    <s v="father"/>
    <n v="1"/>
    <n v="2"/>
    <n v="0"/>
    <s v="yes"/>
    <s v="yes"/>
    <s v="no"/>
    <s v="yes"/>
    <s v="yes"/>
    <s v="yes"/>
    <s v="yes"/>
    <s v="no"/>
    <n v="4"/>
    <n v="3"/>
    <n v="2"/>
    <n v="1"/>
    <n v="1"/>
    <n v="5"/>
    <n v="0"/>
    <n v="14"/>
    <n v="13"/>
    <x v="2"/>
    <s v="Pass"/>
    <n v="0"/>
    <n v="0"/>
    <n v="0"/>
    <n v="40"/>
    <n v="0"/>
    <n v="8"/>
    <x v="0"/>
  </r>
  <r>
    <s v="GP"/>
    <s v="F"/>
    <n v="16"/>
    <s v="U"/>
    <s v="GT3"/>
    <s v="T"/>
    <n v="4"/>
    <n v="2"/>
    <s v="services"/>
    <s v="other"/>
    <s v="course"/>
    <s v="mother"/>
    <n v="1"/>
    <n v="2"/>
    <n v="0"/>
    <s v="no"/>
    <s v="yes"/>
    <s v="yes"/>
    <s v="no"/>
    <s v="yes"/>
    <s v="yes"/>
    <s v="yes"/>
    <s v="no"/>
    <n v="4"/>
    <n v="2"/>
    <n v="3"/>
    <n v="1"/>
    <n v="1"/>
    <n v="5"/>
    <n v="2"/>
    <n v="16"/>
    <n v="15"/>
    <x v="8"/>
    <s v="Pass"/>
    <n v="0"/>
    <n v="0"/>
    <n v="0"/>
    <n v="40"/>
    <n v="0"/>
    <n v="8"/>
    <x v="0"/>
  </r>
  <r>
    <s v="GP"/>
    <s v="F"/>
    <n v="16"/>
    <s v="R"/>
    <s v="GT3"/>
    <s v="T"/>
    <n v="4"/>
    <n v="4"/>
    <s v="health"/>
    <s v="teacher"/>
    <s v="other"/>
    <s v="mother"/>
    <n v="1"/>
    <n v="2"/>
    <n v="0"/>
    <s v="no"/>
    <s v="yes"/>
    <s v="no"/>
    <s v="yes"/>
    <s v="yes"/>
    <s v="yes"/>
    <s v="no"/>
    <s v="no"/>
    <n v="2"/>
    <n v="4"/>
    <n v="4"/>
    <n v="2"/>
    <n v="3"/>
    <n v="4"/>
    <n v="0"/>
    <n v="17"/>
    <n v="16"/>
    <x v="8"/>
    <s v="Pass"/>
    <n v="0"/>
    <n v="0"/>
    <n v="0"/>
    <n v="40"/>
    <n v="0"/>
    <n v="8"/>
    <x v="0"/>
  </r>
  <r>
    <s v="GP"/>
    <s v="F"/>
    <n v="16"/>
    <s v="U"/>
    <s v="GT3"/>
    <s v="T"/>
    <n v="1"/>
    <n v="1"/>
    <s v="services"/>
    <s v="services"/>
    <s v="course"/>
    <s v="father"/>
    <n v="4"/>
    <n v="1"/>
    <n v="0"/>
    <s v="yes"/>
    <s v="yes"/>
    <s v="no"/>
    <s v="yes"/>
    <s v="no"/>
    <s v="yes"/>
    <s v="yes"/>
    <s v="yes"/>
    <n v="5"/>
    <n v="5"/>
    <n v="5"/>
    <n v="5"/>
    <n v="5"/>
    <n v="5"/>
    <n v="0"/>
    <n v="10"/>
    <n v="10"/>
    <x v="8"/>
    <s v="Pass"/>
    <n v="0"/>
    <n v="0"/>
    <n v="0"/>
    <n v="70"/>
    <n v="0"/>
    <n v="14"/>
    <x v="0"/>
  </r>
  <r>
    <s v="GP"/>
    <s v="F"/>
    <n v="16"/>
    <s v="U"/>
    <s v="LE3"/>
    <s v="T"/>
    <n v="1"/>
    <n v="2"/>
    <s v="other"/>
    <s v="services"/>
    <s v="reputation"/>
    <s v="father"/>
    <n v="1"/>
    <n v="2"/>
    <n v="0"/>
    <s v="yes"/>
    <s v="no"/>
    <s v="no"/>
    <s v="yes"/>
    <s v="yes"/>
    <s v="yes"/>
    <s v="yes"/>
    <s v="no"/>
    <n v="4"/>
    <n v="4"/>
    <n v="3"/>
    <n v="1"/>
    <n v="1"/>
    <n v="1"/>
    <n v="0"/>
    <n v="13"/>
    <n v="13"/>
    <x v="7"/>
    <s v="Pass"/>
    <n v="1"/>
    <n v="0"/>
    <n v="0"/>
    <n v="40"/>
    <n v="50"/>
    <n v="13"/>
    <x v="0"/>
  </r>
  <r>
    <s v="GP"/>
    <s v="F"/>
    <n v="16"/>
    <s v="U"/>
    <s v="GT3"/>
    <s v="T"/>
    <n v="4"/>
    <n v="3"/>
    <s v="teacher"/>
    <s v="health"/>
    <s v="home"/>
    <s v="mother"/>
    <n v="1"/>
    <n v="3"/>
    <n v="0"/>
    <s v="yes"/>
    <s v="yes"/>
    <s v="no"/>
    <s v="yes"/>
    <s v="yes"/>
    <s v="yes"/>
    <s v="yes"/>
    <s v="no"/>
    <n v="3"/>
    <n v="4"/>
    <n v="4"/>
    <n v="2"/>
    <n v="4"/>
    <n v="4"/>
    <n v="0"/>
    <n v="14"/>
    <n v="13"/>
    <x v="3"/>
    <s v="Pass"/>
    <n v="0"/>
    <n v="0"/>
    <n v="0"/>
    <n v="0"/>
    <n v="0"/>
    <n v="0"/>
    <x v="0"/>
  </r>
  <r>
    <s v="GP"/>
    <s v="F"/>
    <n v="15"/>
    <s v="U"/>
    <s v="LE3"/>
    <s v="T"/>
    <n v="4"/>
    <n v="3"/>
    <s v="services"/>
    <s v="services"/>
    <s v="reputation"/>
    <s v="father"/>
    <n v="1"/>
    <n v="2"/>
    <n v="0"/>
    <s v="yes"/>
    <s v="no"/>
    <s v="no"/>
    <s v="yes"/>
    <s v="yes"/>
    <s v="yes"/>
    <s v="yes"/>
    <s v="yes"/>
    <n v="4"/>
    <n v="4"/>
    <n v="4"/>
    <n v="2"/>
    <n v="4"/>
    <n v="2"/>
    <n v="0"/>
    <n v="13"/>
    <n v="12"/>
    <x v="1"/>
    <s v="Pass"/>
    <n v="0"/>
    <n v="0"/>
    <n v="0"/>
    <n v="40"/>
    <n v="0"/>
    <n v="8"/>
    <x v="0"/>
  </r>
  <r>
    <s v="GP"/>
    <s v="F"/>
    <n v="16"/>
    <s v="U"/>
    <s v="LE3"/>
    <s v="T"/>
    <n v="4"/>
    <n v="3"/>
    <s v="teacher"/>
    <s v="services"/>
    <s v="course"/>
    <s v="mother"/>
    <n v="3"/>
    <n v="2"/>
    <n v="0"/>
    <s v="no"/>
    <s v="yes"/>
    <s v="no"/>
    <s v="yes"/>
    <s v="yes"/>
    <s v="yes"/>
    <s v="yes"/>
    <s v="no"/>
    <n v="5"/>
    <n v="4"/>
    <n v="3"/>
    <n v="1"/>
    <n v="2"/>
    <n v="1"/>
    <n v="2"/>
    <n v="16"/>
    <n v="15"/>
    <x v="8"/>
    <s v="Pass"/>
    <n v="0"/>
    <n v="0"/>
    <n v="0"/>
    <n v="40"/>
    <n v="0"/>
    <n v="8"/>
    <x v="0"/>
  </r>
  <r>
    <s v="GP"/>
    <s v="M"/>
    <n v="15"/>
    <s v="U"/>
    <s v="GT3"/>
    <s v="A"/>
    <n v="4"/>
    <n v="4"/>
    <s v="other"/>
    <s v="services"/>
    <s v="reputation"/>
    <s v="mother"/>
    <n v="1"/>
    <n v="4"/>
    <n v="0"/>
    <s v="no"/>
    <s v="yes"/>
    <s v="no"/>
    <s v="yes"/>
    <s v="no"/>
    <s v="yes"/>
    <s v="yes"/>
    <s v="yes"/>
    <n v="1"/>
    <n v="3"/>
    <n v="3"/>
    <n v="5"/>
    <n v="5"/>
    <n v="3"/>
    <n v="0"/>
    <n v="11"/>
    <n v="12"/>
    <x v="1"/>
    <s v="Pass"/>
    <n v="0"/>
    <n v="0"/>
    <n v="0"/>
    <n v="0"/>
    <n v="0"/>
    <n v="0"/>
    <x v="0"/>
  </r>
  <r>
    <s v="GP"/>
    <s v="F"/>
    <n v="16"/>
    <s v="U"/>
    <s v="GT3"/>
    <s v="T"/>
    <n v="3"/>
    <n v="1"/>
    <s v="services"/>
    <s v="other"/>
    <s v="course"/>
    <s v="mother"/>
    <n v="1"/>
    <n v="4"/>
    <n v="0"/>
    <s v="yes"/>
    <s v="yes"/>
    <s v="no"/>
    <s v="no"/>
    <s v="yes"/>
    <s v="yes"/>
    <s v="yes"/>
    <s v="no"/>
    <n v="4"/>
    <n v="3"/>
    <n v="3"/>
    <n v="1"/>
    <n v="2"/>
    <n v="5"/>
    <n v="0"/>
    <n v="10"/>
    <n v="9"/>
    <x v="7"/>
    <s v="Pass"/>
    <n v="0"/>
    <n v="0"/>
    <n v="0"/>
    <n v="0"/>
    <n v="0"/>
    <n v="0"/>
    <x v="0"/>
  </r>
  <r>
    <s v="GP"/>
    <s v="F"/>
    <n v="15"/>
    <s v="R"/>
    <s v="LE3"/>
    <s v="T"/>
    <n v="2"/>
    <n v="2"/>
    <s v="health"/>
    <s v="services"/>
    <s v="reputation"/>
    <s v="mother"/>
    <n v="2"/>
    <n v="2"/>
    <n v="0"/>
    <s v="yes"/>
    <s v="yes"/>
    <s v="no"/>
    <s v="no"/>
    <s v="yes"/>
    <s v="yes"/>
    <s v="yes"/>
    <s v="no"/>
    <n v="4"/>
    <n v="1"/>
    <n v="3"/>
    <n v="1"/>
    <n v="3"/>
    <n v="4"/>
    <n v="0"/>
    <n v="11"/>
    <n v="10"/>
    <x v="0"/>
    <s v="Pass"/>
    <n v="0"/>
    <n v="0"/>
    <n v="0"/>
    <n v="40"/>
    <n v="0"/>
    <n v="8"/>
    <x v="0"/>
  </r>
  <r>
    <s v="GP"/>
    <s v="F"/>
    <n v="15"/>
    <s v="R"/>
    <s v="LE3"/>
    <s v="T"/>
    <n v="3"/>
    <n v="1"/>
    <s v="other"/>
    <s v="other"/>
    <s v="reputation"/>
    <s v="father"/>
    <n v="2"/>
    <n v="4"/>
    <n v="0"/>
    <s v="no"/>
    <s v="yes"/>
    <s v="no"/>
    <s v="no"/>
    <s v="no"/>
    <s v="yes"/>
    <s v="yes"/>
    <s v="no"/>
    <n v="4"/>
    <n v="4"/>
    <n v="2"/>
    <n v="2"/>
    <n v="3"/>
    <n v="3"/>
    <n v="6"/>
    <n v="15"/>
    <n v="15"/>
    <x v="5"/>
    <s v="Pass"/>
    <n v="0"/>
    <n v="0"/>
    <n v="0"/>
    <n v="0"/>
    <n v="0"/>
    <n v="0"/>
    <x v="0"/>
  </r>
  <r>
    <s v="GP"/>
    <s v="M"/>
    <n v="16"/>
    <s v="U"/>
    <s v="GT3"/>
    <s v="T"/>
    <n v="3"/>
    <n v="1"/>
    <s v="other"/>
    <s v="other"/>
    <s v="reputation"/>
    <s v="father"/>
    <n v="2"/>
    <n v="4"/>
    <n v="0"/>
    <s v="no"/>
    <s v="yes"/>
    <s v="no"/>
    <s v="no"/>
    <s v="yes"/>
    <s v="yes"/>
    <s v="yes"/>
    <s v="no"/>
    <n v="4"/>
    <n v="3"/>
    <n v="2"/>
    <n v="1"/>
    <n v="1"/>
    <n v="5"/>
    <n v="2"/>
    <n v="13"/>
    <n v="11"/>
    <x v="0"/>
    <s v="Pass"/>
    <n v="0"/>
    <n v="0"/>
    <n v="0"/>
    <n v="0"/>
    <n v="0"/>
    <n v="0"/>
    <x v="0"/>
  </r>
  <r>
    <s v="GP"/>
    <s v="M"/>
    <n v="15"/>
    <s v="U"/>
    <s v="GT3"/>
    <s v="T"/>
    <n v="4"/>
    <n v="2"/>
    <s v="other"/>
    <s v="other"/>
    <s v="course"/>
    <s v="mother"/>
    <n v="1"/>
    <n v="4"/>
    <n v="0"/>
    <s v="no"/>
    <s v="no"/>
    <s v="no"/>
    <s v="no"/>
    <s v="yes"/>
    <s v="yes"/>
    <s v="yes"/>
    <s v="no"/>
    <n v="3"/>
    <n v="3"/>
    <n v="3"/>
    <n v="1"/>
    <n v="1"/>
    <n v="3"/>
    <n v="0"/>
    <n v="11"/>
    <n v="9"/>
    <x v="7"/>
    <s v="Pass"/>
    <n v="0"/>
    <n v="0"/>
    <n v="0"/>
    <n v="0"/>
    <n v="0"/>
    <n v="0"/>
    <x v="0"/>
  </r>
  <r>
    <s v="GP"/>
    <s v="F"/>
    <n v="15"/>
    <s v="R"/>
    <s v="GT3"/>
    <s v="T"/>
    <n v="1"/>
    <n v="1"/>
    <s v="other"/>
    <s v="other"/>
    <s v="reputation"/>
    <s v="mother"/>
    <n v="1"/>
    <n v="2"/>
    <n v="0"/>
    <s v="yes"/>
    <s v="yes"/>
    <s v="no"/>
    <s v="no"/>
    <s v="no"/>
    <s v="yes"/>
    <s v="yes"/>
    <s v="yes"/>
    <n v="3"/>
    <n v="3"/>
    <n v="4"/>
    <n v="2"/>
    <n v="4"/>
    <n v="5"/>
    <n v="2"/>
    <n v="13"/>
    <n v="11"/>
    <x v="0"/>
    <s v="Pass"/>
    <n v="0"/>
    <n v="0"/>
    <n v="0"/>
    <n v="40"/>
    <n v="0"/>
    <n v="8"/>
    <x v="0"/>
  </r>
  <r>
    <s v="GP"/>
    <s v="M"/>
    <n v="16"/>
    <s v="U"/>
    <s v="GT3"/>
    <s v="T"/>
    <n v="3"/>
    <n v="1"/>
    <s v="other"/>
    <s v="other"/>
    <s v="reputation"/>
    <s v="mother"/>
    <n v="1"/>
    <n v="1"/>
    <n v="0"/>
    <s v="no"/>
    <s v="no"/>
    <s v="no"/>
    <s v="yes"/>
    <s v="yes"/>
    <s v="yes"/>
    <s v="no"/>
    <s v="no"/>
    <n v="5"/>
    <n v="3"/>
    <n v="2"/>
    <n v="2"/>
    <n v="2"/>
    <n v="5"/>
    <n v="0"/>
    <n v="13"/>
    <n v="13"/>
    <x v="2"/>
    <s v="Pass"/>
    <n v="0"/>
    <n v="0"/>
    <n v="0"/>
    <n v="70"/>
    <n v="0"/>
    <n v="14"/>
    <x v="0"/>
  </r>
  <r>
    <s v="GP"/>
    <s v="F"/>
    <n v="16"/>
    <s v="U"/>
    <s v="GT3"/>
    <s v="T"/>
    <n v="3"/>
    <n v="3"/>
    <s v="other"/>
    <s v="services"/>
    <s v="home"/>
    <s v="mother"/>
    <n v="1"/>
    <n v="2"/>
    <n v="0"/>
    <s v="yes"/>
    <s v="yes"/>
    <s v="no"/>
    <s v="yes"/>
    <s v="yes"/>
    <s v="yes"/>
    <s v="yes"/>
    <s v="no"/>
    <n v="4"/>
    <n v="3"/>
    <n v="3"/>
    <n v="2"/>
    <n v="4"/>
    <n v="5"/>
    <n v="4"/>
    <n v="11"/>
    <n v="11"/>
    <x v="0"/>
    <s v="Pass"/>
    <n v="0"/>
    <n v="0"/>
    <n v="0"/>
    <n v="40"/>
    <n v="0"/>
    <n v="8"/>
    <x v="0"/>
  </r>
  <r>
    <s v="GP"/>
    <s v="M"/>
    <n v="15"/>
    <s v="U"/>
    <s v="GT3"/>
    <s v="T"/>
    <n v="4"/>
    <n v="3"/>
    <s v="teacher"/>
    <s v="other"/>
    <s v="home"/>
    <s v="mother"/>
    <n v="1"/>
    <n v="2"/>
    <n v="0"/>
    <s v="no"/>
    <s v="yes"/>
    <s v="no"/>
    <s v="yes"/>
    <s v="yes"/>
    <s v="yes"/>
    <s v="yes"/>
    <s v="no"/>
    <n v="4"/>
    <n v="3"/>
    <n v="3"/>
    <n v="2"/>
    <n v="3"/>
    <n v="5"/>
    <n v="0"/>
    <n v="11"/>
    <n v="11"/>
    <x v="0"/>
    <s v="Pass"/>
    <n v="0"/>
    <n v="0"/>
    <n v="0"/>
    <n v="40"/>
    <n v="0"/>
    <n v="8"/>
    <x v="0"/>
  </r>
  <r>
    <s v="GP"/>
    <s v="M"/>
    <n v="15"/>
    <s v="U"/>
    <s v="GT3"/>
    <s v="T"/>
    <n v="4"/>
    <n v="0"/>
    <s v="teacher"/>
    <s v="other"/>
    <s v="course"/>
    <s v="mother"/>
    <n v="2"/>
    <n v="4"/>
    <n v="0"/>
    <s v="no"/>
    <s v="no"/>
    <s v="no"/>
    <s v="yes"/>
    <s v="yes"/>
    <s v="yes"/>
    <s v="yes"/>
    <s v="no"/>
    <n v="3"/>
    <n v="4"/>
    <n v="3"/>
    <n v="1"/>
    <n v="1"/>
    <n v="1"/>
    <n v="0"/>
    <n v="12"/>
    <n v="11"/>
    <x v="0"/>
    <s v="Pass"/>
    <n v="0"/>
    <n v="0"/>
    <n v="0"/>
    <n v="0"/>
    <n v="0"/>
    <n v="0"/>
    <x v="0"/>
  </r>
  <r>
    <s v="GP"/>
    <s v="F"/>
    <n v="16"/>
    <s v="U"/>
    <s v="GT3"/>
    <s v="T"/>
    <n v="2"/>
    <n v="2"/>
    <s v="other"/>
    <s v="other"/>
    <s v="reputation"/>
    <s v="mother"/>
    <n v="1"/>
    <n v="4"/>
    <n v="0"/>
    <s v="no"/>
    <s v="no"/>
    <s v="no"/>
    <s v="no"/>
    <s v="yes"/>
    <s v="yes"/>
    <s v="yes"/>
    <s v="yes"/>
    <n v="5"/>
    <n v="2"/>
    <n v="3"/>
    <n v="1"/>
    <n v="3"/>
    <n v="3"/>
    <n v="1"/>
    <n v="13"/>
    <n v="13"/>
    <x v="3"/>
    <s v="Pass"/>
    <n v="0"/>
    <n v="0"/>
    <n v="0"/>
    <n v="0"/>
    <n v="0"/>
    <n v="0"/>
    <x v="0"/>
  </r>
  <r>
    <s v="GP"/>
    <s v="M"/>
    <n v="17"/>
    <s v="U"/>
    <s v="GT3"/>
    <s v="T"/>
    <n v="2"/>
    <n v="1"/>
    <s v="other"/>
    <s v="other"/>
    <s v="home"/>
    <s v="mother"/>
    <n v="2"/>
    <n v="1"/>
    <n v="3"/>
    <s v="yes"/>
    <s v="yes"/>
    <s v="no"/>
    <s v="yes"/>
    <s v="yes"/>
    <s v="no"/>
    <s v="yes"/>
    <s v="no"/>
    <n v="4"/>
    <n v="5"/>
    <n v="1"/>
    <n v="1"/>
    <n v="1"/>
    <n v="3"/>
    <n v="0"/>
    <n v="9"/>
    <n v="9"/>
    <x v="7"/>
    <s v="Pass"/>
    <n v="0"/>
    <n v="100"/>
    <n v="0"/>
    <n v="70"/>
    <n v="0"/>
    <n v="54"/>
    <x v="1"/>
  </r>
  <r>
    <s v="GP"/>
    <s v="F"/>
    <n v="16"/>
    <s v="U"/>
    <s v="GT3"/>
    <s v="T"/>
    <n v="3"/>
    <n v="4"/>
    <s v="at_home"/>
    <s v="other"/>
    <s v="course"/>
    <s v="mother"/>
    <n v="1"/>
    <n v="2"/>
    <n v="0"/>
    <s v="no"/>
    <s v="yes"/>
    <s v="no"/>
    <s v="no"/>
    <s v="yes"/>
    <s v="yes"/>
    <s v="yes"/>
    <s v="no"/>
    <n v="2"/>
    <n v="4"/>
    <n v="3"/>
    <n v="1"/>
    <n v="2"/>
    <n v="3"/>
    <n v="14"/>
    <n v="12"/>
    <n v="11"/>
    <x v="0"/>
    <s v="Pass"/>
    <n v="0"/>
    <n v="0"/>
    <n v="50"/>
    <n v="40"/>
    <n v="0"/>
    <n v="23"/>
    <x v="0"/>
  </r>
  <r>
    <s v="GP"/>
    <s v="M"/>
    <n v="15"/>
    <s v="U"/>
    <s v="GT3"/>
    <s v="T"/>
    <n v="2"/>
    <n v="3"/>
    <s v="other"/>
    <s v="services"/>
    <s v="course"/>
    <s v="father"/>
    <n v="1"/>
    <n v="1"/>
    <n v="0"/>
    <s v="yes"/>
    <s v="yes"/>
    <s v="no"/>
    <s v="yes"/>
    <s v="no"/>
    <s v="yes"/>
    <s v="yes"/>
    <s v="yes"/>
    <n v="3"/>
    <n v="2"/>
    <n v="2"/>
    <n v="1"/>
    <n v="3"/>
    <n v="3"/>
    <n v="0"/>
    <n v="11"/>
    <n v="11"/>
    <x v="1"/>
    <s v="Pass"/>
    <n v="0"/>
    <n v="0"/>
    <n v="0"/>
    <n v="70"/>
    <n v="0"/>
    <n v="14"/>
    <x v="0"/>
  </r>
  <r>
    <s v="GP"/>
    <s v="M"/>
    <n v="15"/>
    <s v="U"/>
    <s v="GT3"/>
    <s v="T"/>
    <n v="2"/>
    <n v="3"/>
    <s v="other"/>
    <s v="other"/>
    <s v="home"/>
    <s v="mother"/>
    <n v="1"/>
    <n v="3"/>
    <n v="0"/>
    <s v="yes"/>
    <s v="no"/>
    <s v="no"/>
    <s v="no"/>
    <s v="no"/>
    <s v="yes"/>
    <s v="yes"/>
    <s v="no"/>
    <n v="5"/>
    <n v="3"/>
    <n v="2"/>
    <n v="1"/>
    <n v="2"/>
    <n v="5"/>
    <n v="2"/>
    <n v="10"/>
    <n v="9"/>
    <x v="9"/>
    <s v="Fail"/>
    <n v="0"/>
    <n v="0"/>
    <n v="0"/>
    <n v="0"/>
    <n v="0"/>
    <n v="0"/>
    <x v="0"/>
  </r>
  <r>
    <s v="GP"/>
    <s v="F"/>
    <n v="15"/>
    <s v="U"/>
    <s v="LE3"/>
    <s v="T"/>
    <n v="3"/>
    <n v="2"/>
    <s v="services"/>
    <s v="other"/>
    <s v="reputation"/>
    <s v="mother"/>
    <n v="1"/>
    <n v="2"/>
    <n v="0"/>
    <s v="no"/>
    <s v="yes"/>
    <s v="no"/>
    <s v="no"/>
    <s v="yes"/>
    <s v="yes"/>
    <s v="yes"/>
    <s v="no"/>
    <n v="4"/>
    <n v="4"/>
    <n v="4"/>
    <n v="1"/>
    <n v="1"/>
    <n v="5"/>
    <n v="4"/>
    <n v="12"/>
    <n v="11"/>
    <x v="0"/>
    <s v="Pass"/>
    <n v="0"/>
    <n v="0"/>
    <n v="0"/>
    <n v="40"/>
    <n v="0"/>
    <n v="8"/>
    <x v="0"/>
  </r>
  <r>
    <s v="GP"/>
    <s v="M"/>
    <n v="15"/>
    <s v="U"/>
    <s v="LE3"/>
    <s v="T"/>
    <n v="2"/>
    <n v="2"/>
    <s v="services"/>
    <s v="services"/>
    <s v="home"/>
    <s v="mother"/>
    <n v="2"/>
    <n v="2"/>
    <n v="0"/>
    <s v="no"/>
    <s v="no"/>
    <s v="yes"/>
    <s v="yes"/>
    <s v="yes"/>
    <s v="yes"/>
    <s v="yes"/>
    <s v="no"/>
    <n v="5"/>
    <n v="3"/>
    <n v="3"/>
    <n v="1"/>
    <n v="3"/>
    <n v="4"/>
    <n v="2"/>
    <n v="13"/>
    <n v="12"/>
    <x v="3"/>
    <s v="Pass"/>
    <n v="0"/>
    <n v="0"/>
    <n v="0"/>
    <n v="40"/>
    <n v="0"/>
    <n v="8"/>
    <x v="0"/>
  </r>
  <r>
    <s v="GP"/>
    <s v="F"/>
    <n v="15"/>
    <s v="U"/>
    <s v="GT3"/>
    <s v="T"/>
    <n v="1"/>
    <n v="1"/>
    <s v="other"/>
    <s v="other"/>
    <s v="home"/>
    <s v="father"/>
    <n v="1"/>
    <n v="2"/>
    <n v="0"/>
    <s v="no"/>
    <s v="yes"/>
    <s v="no"/>
    <s v="yes"/>
    <s v="no"/>
    <s v="yes"/>
    <s v="yes"/>
    <s v="no"/>
    <n v="4"/>
    <n v="3"/>
    <n v="2"/>
    <n v="2"/>
    <n v="3"/>
    <n v="4"/>
    <n v="2"/>
    <n v="13"/>
    <n v="12"/>
    <x v="1"/>
    <s v="Pass"/>
    <n v="0"/>
    <n v="0"/>
    <n v="0"/>
    <n v="40"/>
    <n v="0"/>
    <n v="8"/>
    <x v="0"/>
  </r>
  <r>
    <s v="GP"/>
    <s v="F"/>
    <n v="15"/>
    <s v="U"/>
    <s v="GT3"/>
    <s v="T"/>
    <n v="4"/>
    <n v="4"/>
    <s v="services"/>
    <s v="services"/>
    <s v="reputation"/>
    <s v="father"/>
    <n v="2"/>
    <n v="2"/>
    <n v="0"/>
    <s v="no"/>
    <s v="no"/>
    <s v="no"/>
    <s v="no"/>
    <s v="yes"/>
    <s v="yes"/>
    <s v="yes"/>
    <s v="yes"/>
    <n v="4"/>
    <n v="4"/>
    <n v="4"/>
    <n v="2"/>
    <n v="3"/>
    <n v="5"/>
    <n v="4"/>
    <n v="12"/>
    <n v="11"/>
    <x v="1"/>
    <s v="Pass"/>
    <n v="0"/>
    <n v="0"/>
    <n v="0"/>
    <n v="40"/>
    <n v="0"/>
    <n v="8"/>
    <x v="0"/>
  </r>
  <r>
    <s v="GP"/>
    <s v="F"/>
    <n v="16"/>
    <s v="U"/>
    <s v="LE3"/>
    <s v="T"/>
    <n v="2"/>
    <n v="2"/>
    <s v="at_home"/>
    <s v="other"/>
    <s v="course"/>
    <s v="mother"/>
    <n v="1"/>
    <n v="2"/>
    <n v="0"/>
    <s v="no"/>
    <s v="yes"/>
    <s v="no"/>
    <s v="no"/>
    <s v="yes"/>
    <s v="yes"/>
    <s v="no"/>
    <s v="no"/>
    <n v="4"/>
    <n v="3"/>
    <n v="4"/>
    <n v="1"/>
    <n v="2"/>
    <n v="2"/>
    <n v="6"/>
    <n v="13"/>
    <n v="11"/>
    <x v="0"/>
    <s v="Pass"/>
    <n v="0"/>
    <n v="0"/>
    <n v="0"/>
    <n v="40"/>
    <n v="0"/>
    <n v="8"/>
    <x v="0"/>
  </r>
  <r>
    <s v="GP"/>
    <s v="F"/>
    <n v="15"/>
    <s v="U"/>
    <s v="GT3"/>
    <s v="T"/>
    <n v="4"/>
    <n v="2"/>
    <s v="other"/>
    <s v="other"/>
    <s v="reputation"/>
    <s v="mother"/>
    <n v="1"/>
    <n v="3"/>
    <n v="0"/>
    <s v="no"/>
    <s v="yes"/>
    <s v="no"/>
    <s v="yes"/>
    <s v="yes"/>
    <s v="yes"/>
    <s v="yes"/>
    <s v="no"/>
    <n v="5"/>
    <n v="3"/>
    <n v="3"/>
    <n v="1"/>
    <n v="3"/>
    <n v="1"/>
    <n v="4"/>
    <n v="15"/>
    <n v="15"/>
    <x v="5"/>
    <s v="Pass"/>
    <n v="0"/>
    <n v="0"/>
    <n v="0"/>
    <n v="0"/>
    <n v="0"/>
    <n v="0"/>
    <x v="0"/>
  </r>
  <r>
    <s v="GP"/>
    <s v="M"/>
    <n v="16"/>
    <s v="U"/>
    <s v="GT3"/>
    <s v="T"/>
    <n v="2"/>
    <n v="2"/>
    <s v="services"/>
    <s v="other"/>
    <s v="reputation"/>
    <s v="father"/>
    <n v="2"/>
    <n v="2"/>
    <n v="0"/>
    <s v="no"/>
    <s v="no"/>
    <s v="no"/>
    <s v="yes"/>
    <s v="no"/>
    <s v="yes"/>
    <s v="yes"/>
    <s v="no"/>
    <n v="4"/>
    <n v="4"/>
    <n v="2"/>
    <n v="1"/>
    <n v="1"/>
    <n v="3"/>
    <n v="6"/>
    <n v="12"/>
    <n v="10"/>
    <x v="0"/>
    <s v="Pass"/>
    <n v="0"/>
    <n v="0"/>
    <n v="0"/>
    <n v="40"/>
    <n v="0"/>
    <n v="8"/>
    <x v="0"/>
  </r>
  <r>
    <s v="GP"/>
    <s v="M"/>
    <n v="16"/>
    <s v="U"/>
    <s v="LE3"/>
    <s v="A"/>
    <n v="4"/>
    <n v="4"/>
    <s v="teacher"/>
    <s v="health"/>
    <s v="reputation"/>
    <s v="mother"/>
    <n v="1"/>
    <n v="2"/>
    <n v="0"/>
    <s v="no"/>
    <s v="yes"/>
    <s v="no"/>
    <s v="no"/>
    <s v="yes"/>
    <s v="yes"/>
    <s v="no"/>
    <s v="no"/>
    <n v="4"/>
    <n v="1"/>
    <n v="3"/>
    <n v="3"/>
    <n v="5"/>
    <n v="5"/>
    <n v="6"/>
    <n v="9"/>
    <n v="9"/>
    <x v="7"/>
    <s v="Pass"/>
    <n v="0"/>
    <n v="0"/>
    <n v="0"/>
    <n v="40"/>
    <n v="0"/>
    <n v="8"/>
    <x v="0"/>
  </r>
  <r>
    <s v="GP"/>
    <s v="F"/>
    <n v="16"/>
    <s v="U"/>
    <s v="GT3"/>
    <s v="T"/>
    <n v="3"/>
    <n v="3"/>
    <s v="other"/>
    <s v="other"/>
    <s v="home"/>
    <s v="mother"/>
    <n v="1"/>
    <n v="3"/>
    <n v="0"/>
    <s v="no"/>
    <s v="yes"/>
    <s v="no"/>
    <s v="no"/>
    <s v="yes"/>
    <s v="yes"/>
    <s v="yes"/>
    <s v="yes"/>
    <n v="4"/>
    <n v="3"/>
    <n v="3"/>
    <n v="1"/>
    <n v="3"/>
    <n v="4"/>
    <n v="2"/>
    <n v="9"/>
    <n v="11"/>
    <x v="0"/>
    <s v="Pass"/>
    <n v="0"/>
    <n v="0"/>
    <n v="0"/>
    <n v="0"/>
    <n v="0"/>
    <n v="0"/>
    <x v="0"/>
  </r>
  <r>
    <s v="GP"/>
    <s v="F"/>
    <n v="15"/>
    <s v="U"/>
    <s v="GT3"/>
    <s v="T"/>
    <n v="4"/>
    <n v="3"/>
    <s v="services"/>
    <s v="other"/>
    <s v="reputation"/>
    <s v="mother"/>
    <n v="1"/>
    <n v="1"/>
    <n v="0"/>
    <s v="no"/>
    <s v="no"/>
    <s v="no"/>
    <s v="yes"/>
    <s v="yes"/>
    <s v="yes"/>
    <s v="yes"/>
    <s v="no"/>
    <n v="4"/>
    <n v="5"/>
    <n v="5"/>
    <n v="1"/>
    <n v="3"/>
    <n v="1"/>
    <n v="6"/>
    <n v="14"/>
    <n v="13"/>
    <x v="3"/>
    <s v="Pass"/>
    <n v="0"/>
    <n v="0"/>
    <n v="0"/>
    <n v="70"/>
    <n v="0"/>
    <n v="14"/>
    <x v="0"/>
  </r>
  <r>
    <s v="GP"/>
    <s v="F"/>
    <n v="16"/>
    <s v="U"/>
    <s v="LE3"/>
    <s v="T"/>
    <n v="3"/>
    <n v="1"/>
    <s v="other"/>
    <s v="other"/>
    <s v="home"/>
    <s v="father"/>
    <n v="1"/>
    <n v="2"/>
    <n v="0"/>
    <s v="yes"/>
    <s v="yes"/>
    <s v="no"/>
    <s v="no"/>
    <s v="yes"/>
    <s v="yes"/>
    <s v="no"/>
    <s v="no"/>
    <n v="3"/>
    <n v="3"/>
    <n v="3"/>
    <n v="2"/>
    <n v="3"/>
    <n v="2"/>
    <n v="0"/>
    <n v="12"/>
    <n v="13"/>
    <x v="1"/>
    <s v="Pass"/>
    <n v="1"/>
    <n v="0"/>
    <n v="0"/>
    <n v="40"/>
    <n v="50"/>
    <n v="13"/>
    <x v="0"/>
  </r>
  <r>
    <s v="GP"/>
    <s v="F"/>
    <n v="16"/>
    <s v="U"/>
    <s v="GT3"/>
    <s v="T"/>
    <n v="4"/>
    <n v="2"/>
    <s v="teacher"/>
    <s v="services"/>
    <s v="home"/>
    <s v="mother"/>
    <n v="2"/>
    <n v="2"/>
    <n v="0"/>
    <s v="no"/>
    <s v="yes"/>
    <s v="no"/>
    <s v="yes"/>
    <s v="yes"/>
    <s v="yes"/>
    <s v="yes"/>
    <s v="no"/>
    <n v="5"/>
    <n v="3"/>
    <n v="3"/>
    <n v="1"/>
    <n v="1"/>
    <n v="1"/>
    <n v="2"/>
    <n v="13"/>
    <n v="14"/>
    <x v="2"/>
    <s v="Pass"/>
    <n v="0"/>
    <n v="0"/>
    <n v="0"/>
    <n v="40"/>
    <n v="0"/>
    <n v="8"/>
    <x v="0"/>
  </r>
  <r>
    <s v="GP"/>
    <s v="M"/>
    <n v="15"/>
    <s v="U"/>
    <s v="LE3"/>
    <s v="T"/>
    <n v="2"/>
    <n v="2"/>
    <s v="services"/>
    <s v="health"/>
    <s v="reputation"/>
    <s v="mother"/>
    <n v="1"/>
    <n v="4"/>
    <n v="0"/>
    <s v="no"/>
    <s v="yes"/>
    <s v="no"/>
    <s v="yes"/>
    <s v="yes"/>
    <s v="yes"/>
    <s v="yes"/>
    <s v="no"/>
    <n v="4"/>
    <n v="3"/>
    <n v="4"/>
    <n v="1"/>
    <n v="1"/>
    <n v="4"/>
    <n v="2"/>
    <n v="11"/>
    <n v="12"/>
    <x v="1"/>
    <s v="Pass"/>
    <n v="0"/>
    <n v="0"/>
    <n v="0"/>
    <n v="0"/>
    <n v="0"/>
    <n v="0"/>
    <x v="0"/>
  </r>
  <r>
    <s v="GP"/>
    <s v="F"/>
    <n v="15"/>
    <s v="R"/>
    <s v="GT3"/>
    <s v="T"/>
    <n v="1"/>
    <n v="1"/>
    <s v="at_home"/>
    <s v="other"/>
    <s v="home"/>
    <s v="mother"/>
    <n v="2"/>
    <n v="4"/>
    <n v="0"/>
    <s v="yes"/>
    <s v="yes"/>
    <s v="yes"/>
    <s v="yes"/>
    <s v="yes"/>
    <s v="yes"/>
    <s v="yes"/>
    <s v="no"/>
    <n v="3"/>
    <n v="1"/>
    <n v="2"/>
    <n v="1"/>
    <n v="1"/>
    <n v="1"/>
    <n v="4"/>
    <n v="13"/>
    <n v="13"/>
    <x v="3"/>
    <s v="Pass"/>
    <n v="0"/>
    <n v="0"/>
    <n v="0"/>
    <n v="0"/>
    <n v="0"/>
    <n v="0"/>
    <x v="0"/>
  </r>
  <r>
    <s v="GP"/>
    <s v="M"/>
    <n v="16"/>
    <s v="R"/>
    <s v="GT3"/>
    <s v="T"/>
    <n v="4"/>
    <n v="3"/>
    <s v="services"/>
    <s v="other"/>
    <s v="reputation"/>
    <s v="mother"/>
    <n v="2"/>
    <n v="1"/>
    <n v="0"/>
    <s v="yes"/>
    <s v="yes"/>
    <s v="yes"/>
    <s v="yes"/>
    <s v="no"/>
    <s v="yes"/>
    <s v="yes"/>
    <s v="no"/>
    <n v="3"/>
    <n v="3"/>
    <n v="3"/>
    <n v="1"/>
    <n v="1"/>
    <n v="4"/>
    <n v="6"/>
    <n v="9"/>
    <n v="11"/>
    <x v="0"/>
    <s v="Pass"/>
    <n v="0"/>
    <n v="0"/>
    <n v="0"/>
    <n v="70"/>
    <n v="0"/>
    <n v="14"/>
    <x v="0"/>
  </r>
  <r>
    <s v="GP"/>
    <s v="F"/>
    <n v="16"/>
    <s v="U"/>
    <s v="GT3"/>
    <s v="T"/>
    <n v="2"/>
    <n v="1"/>
    <s v="other"/>
    <s v="other"/>
    <s v="course"/>
    <s v="mother"/>
    <n v="1"/>
    <n v="2"/>
    <n v="0"/>
    <s v="no"/>
    <s v="yes"/>
    <s v="no"/>
    <s v="no"/>
    <s v="yes"/>
    <s v="yes"/>
    <s v="no"/>
    <s v="yes"/>
    <n v="4"/>
    <n v="3"/>
    <n v="5"/>
    <n v="1"/>
    <n v="1"/>
    <n v="5"/>
    <n v="0"/>
    <n v="13"/>
    <n v="12"/>
    <x v="1"/>
    <s v="Pass"/>
    <n v="0"/>
    <n v="0"/>
    <n v="0"/>
    <n v="40"/>
    <n v="0"/>
    <n v="8"/>
    <x v="0"/>
  </r>
  <r>
    <s v="GP"/>
    <s v="F"/>
    <n v="16"/>
    <s v="U"/>
    <s v="GT3"/>
    <s v="T"/>
    <n v="4"/>
    <n v="4"/>
    <s v="other"/>
    <s v="other"/>
    <s v="reputation"/>
    <s v="mother"/>
    <n v="1"/>
    <n v="1"/>
    <n v="0"/>
    <s v="no"/>
    <s v="no"/>
    <s v="no"/>
    <s v="yes"/>
    <s v="no"/>
    <s v="yes"/>
    <s v="yes"/>
    <s v="no"/>
    <n v="5"/>
    <n v="3"/>
    <n v="4"/>
    <n v="1"/>
    <n v="2"/>
    <n v="1"/>
    <n v="4"/>
    <n v="12"/>
    <n v="13"/>
    <x v="3"/>
    <s v="Pass"/>
    <n v="0"/>
    <n v="0"/>
    <n v="0"/>
    <n v="70"/>
    <n v="0"/>
    <n v="14"/>
    <x v="0"/>
  </r>
  <r>
    <s v="GP"/>
    <s v="F"/>
    <n v="16"/>
    <s v="U"/>
    <s v="GT3"/>
    <s v="T"/>
    <n v="4"/>
    <n v="3"/>
    <s v="other"/>
    <s v="at_home"/>
    <s v="course"/>
    <s v="mother"/>
    <n v="1"/>
    <n v="3"/>
    <n v="0"/>
    <s v="yes"/>
    <s v="yes"/>
    <s v="no"/>
    <s v="no"/>
    <s v="yes"/>
    <s v="yes"/>
    <s v="yes"/>
    <s v="no"/>
    <n v="5"/>
    <n v="3"/>
    <n v="5"/>
    <n v="1"/>
    <n v="1"/>
    <n v="3"/>
    <n v="2"/>
    <n v="12"/>
    <n v="13"/>
    <x v="3"/>
    <s v="Pass"/>
    <n v="0"/>
    <n v="0"/>
    <n v="0"/>
    <n v="0"/>
    <n v="0"/>
    <n v="0"/>
    <x v="0"/>
  </r>
  <r>
    <s v="GP"/>
    <s v="M"/>
    <n v="16"/>
    <s v="U"/>
    <s v="GT3"/>
    <s v="T"/>
    <n v="4"/>
    <n v="4"/>
    <s v="services"/>
    <s v="services"/>
    <s v="other"/>
    <s v="mother"/>
    <n v="1"/>
    <n v="1"/>
    <n v="0"/>
    <s v="yes"/>
    <s v="yes"/>
    <s v="no"/>
    <s v="yes"/>
    <s v="yes"/>
    <s v="yes"/>
    <s v="yes"/>
    <s v="no"/>
    <n v="4"/>
    <n v="5"/>
    <n v="5"/>
    <n v="5"/>
    <n v="5"/>
    <n v="4"/>
    <n v="12"/>
    <n v="9"/>
    <n v="9"/>
    <x v="10"/>
    <s v="Fail"/>
    <n v="1"/>
    <n v="0"/>
    <n v="50"/>
    <n v="70"/>
    <n v="50"/>
    <n v="34"/>
    <x v="1"/>
  </r>
  <r>
    <s v="GP"/>
    <s v="M"/>
    <n v="16"/>
    <s v="U"/>
    <s v="GT3"/>
    <s v="T"/>
    <n v="4"/>
    <n v="4"/>
    <s v="services"/>
    <s v="teacher"/>
    <s v="other"/>
    <s v="father"/>
    <n v="1"/>
    <n v="3"/>
    <n v="0"/>
    <s v="no"/>
    <s v="yes"/>
    <s v="no"/>
    <s v="yes"/>
    <s v="yes"/>
    <s v="yes"/>
    <s v="yes"/>
    <s v="yes"/>
    <n v="4"/>
    <n v="4"/>
    <n v="3"/>
    <n v="1"/>
    <n v="1"/>
    <n v="4"/>
    <n v="0"/>
    <n v="16"/>
    <n v="16"/>
    <x v="8"/>
    <s v="Pass"/>
    <n v="0"/>
    <n v="0"/>
    <n v="0"/>
    <n v="0"/>
    <n v="0"/>
    <n v="0"/>
    <x v="0"/>
  </r>
  <r>
    <s v="GP"/>
    <s v="M"/>
    <n v="15"/>
    <s v="U"/>
    <s v="GT3"/>
    <s v="T"/>
    <n v="4"/>
    <n v="4"/>
    <s v="services"/>
    <s v="other"/>
    <s v="course"/>
    <s v="mother"/>
    <n v="1"/>
    <n v="1"/>
    <n v="0"/>
    <s v="no"/>
    <s v="yes"/>
    <s v="yes"/>
    <s v="yes"/>
    <s v="no"/>
    <s v="yes"/>
    <s v="yes"/>
    <s v="no"/>
    <n v="5"/>
    <n v="3"/>
    <n v="3"/>
    <n v="1"/>
    <n v="1"/>
    <n v="5"/>
    <n v="2"/>
    <n v="12"/>
    <n v="13"/>
    <x v="1"/>
    <s v="Pass"/>
    <n v="1"/>
    <n v="0"/>
    <n v="0"/>
    <n v="70"/>
    <n v="50"/>
    <n v="19"/>
    <x v="0"/>
  </r>
  <r>
    <s v="GP"/>
    <s v="F"/>
    <n v="15"/>
    <s v="U"/>
    <s v="GT3"/>
    <s v="T"/>
    <n v="3"/>
    <n v="2"/>
    <s v="services"/>
    <s v="other"/>
    <s v="home"/>
    <s v="mother"/>
    <n v="2"/>
    <n v="2"/>
    <n v="0"/>
    <s v="yes"/>
    <s v="yes"/>
    <s v="no"/>
    <s v="no"/>
    <s v="yes"/>
    <s v="yes"/>
    <s v="yes"/>
    <s v="no"/>
    <n v="4"/>
    <n v="3"/>
    <n v="5"/>
    <n v="1"/>
    <n v="1"/>
    <n v="2"/>
    <n v="16"/>
    <n v="11"/>
    <n v="10"/>
    <x v="7"/>
    <s v="Pass"/>
    <n v="0"/>
    <n v="0"/>
    <n v="80"/>
    <n v="40"/>
    <n v="0"/>
    <n v="32"/>
    <x v="1"/>
  </r>
  <r>
    <s v="GP"/>
    <s v="M"/>
    <n v="15"/>
    <s v="U"/>
    <s v="GT3"/>
    <s v="A"/>
    <n v="3"/>
    <n v="4"/>
    <s v="services"/>
    <s v="other"/>
    <s v="course"/>
    <s v="mother"/>
    <n v="1"/>
    <n v="2"/>
    <n v="0"/>
    <s v="no"/>
    <s v="yes"/>
    <s v="no"/>
    <s v="yes"/>
    <s v="yes"/>
    <s v="yes"/>
    <s v="yes"/>
    <s v="no"/>
    <n v="5"/>
    <n v="4"/>
    <n v="4"/>
    <n v="1"/>
    <n v="1"/>
    <n v="1"/>
    <n v="0"/>
    <n v="16"/>
    <n v="16"/>
    <x v="8"/>
    <s v="Pass"/>
    <n v="0"/>
    <n v="0"/>
    <n v="0"/>
    <n v="40"/>
    <n v="0"/>
    <n v="8"/>
    <x v="0"/>
  </r>
  <r>
    <s v="GP"/>
    <s v="F"/>
    <n v="15"/>
    <s v="U"/>
    <s v="GT3"/>
    <s v="A"/>
    <n v="3"/>
    <n v="3"/>
    <s v="other"/>
    <s v="health"/>
    <s v="reputation"/>
    <s v="father"/>
    <n v="1"/>
    <n v="4"/>
    <n v="0"/>
    <s v="yes"/>
    <s v="no"/>
    <s v="no"/>
    <s v="no"/>
    <s v="yes"/>
    <s v="yes"/>
    <s v="no"/>
    <s v="no"/>
    <n v="4"/>
    <n v="3"/>
    <n v="3"/>
    <n v="1"/>
    <n v="1"/>
    <n v="4"/>
    <n v="10"/>
    <n v="10"/>
    <n v="10"/>
    <x v="7"/>
    <s v="Pass"/>
    <n v="0"/>
    <n v="0"/>
    <n v="0"/>
    <n v="0"/>
    <n v="0"/>
    <n v="0"/>
    <x v="0"/>
  </r>
  <r>
    <s v="GP"/>
    <s v="F"/>
    <n v="15"/>
    <s v="U"/>
    <s v="GT3"/>
    <s v="T"/>
    <n v="2"/>
    <n v="2"/>
    <s v="other"/>
    <s v="other"/>
    <s v="course"/>
    <s v="mother"/>
    <n v="1"/>
    <n v="4"/>
    <n v="0"/>
    <s v="yes"/>
    <s v="yes"/>
    <s v="no"/>
    <s v="no"/>
    <s v="yes"/>
    <s v="yes"/>
    <s v="yes"/>
    <s v="no"/>
    <n v="5"/>
    <n v="1"/>
    <n v="2"/>
    <n v="1"/>
    <n v="1"/>
    <n v="3"/>
    <n v="4"/>
    <n v="10"/>
    <n v="10"/>
    <x v="7"/>
    <s v="Pass"/>
    <n v="0"/>
    <n v="0"/>
    <n v="0"/>
    <n v="0"/>
    <n v="0"/>
    <n v="0"/>
    <x v="0"/>
  </r>
  <r>
    <s v="GP"/>
    <s v="M"/>
    <n v="16"/>
    <s v="U"/>
    <s v="GT3"/>
    <s v="T"/>
    <n v="3"/>
    <n v="3"/>
    <s v="services"/>
    <s v="other"/>
    <s v="home"/>
    <s v="father"/>
    <n v="1"/>
    <n v="3"/>
    <n v="0"/>
    <s v="no"/>
    <s v="yes"/>
    <s v="no"/>
    <s v="yes"/>
    <s v="yes"/>
    <s v="yes"/>
    <s v="yes"/>
    <s v="no"/>
    <n v="5"/>
    <n v="3"/>
    <n v="3"/>
    <n v="1"/>
    <n v="1"/>
    <n v="5"/>
    <n v="4"/>
    <n v="13"/>
    <n v="14"/>
    <x v="2"/>
    <s v="Pass"/>
    <n v="0"/>
    <n v="0"/>
    <n v="0"/>
    <n v="0"/>
    <n v="0"/>
    <n v="0"/>
    <x v="0"/>
  </r>
  <r>
    <s v="GP"/>
    <s v="M"/>
    <n v="15"/>
    <s v="R"/>
    <s v="GT3"/>
    <s v="T"/>
    <n v="4"/>
    <n v="4"/>
    <s v="other"/>
    <s v="other"/>
    <s v="home"/>
    <s v="father"/>
    <n v="4"/>
    <n v="4"/>
    <n v="0"/>
    <s v="no"/>
    <s v="yes"/>
    <s v="no"/>
    <s v="yes"/>
    <s v="yes"/>
    <s v="yes"/>
    <s v="yes"/>
    <s v="yes"/>
    <n v="1"/>
    <n v="3"/>
    <n v="5"/>
    <n v="3"/>
    <n v="5"/>
    <n v="1"/>
    <n v="8"/>
    <n v="12"/>
    <n v="10"/>
    <x v="0"/>
    <s v="Pass"/>
    <n v="0"/>
    <n v="0"/>
    <n v="0"/>
    <n v="0"/>
    <n v="0"/>
    <n v="0"/>
    <x v="0"/>
  </r>
  <r>
    <s v="GP"/>
    <s v="F"/>
    <n v="16"/>
    <s v="U"/>
    <s v="LE3"/>
    <s v="T"/>
    <n v="4"/>
    <n v="4"/>
    <s v="health"/>
    <s v="health"/>
    <s v="other"/>
    <s v="mother"/>
    <n v="1"/>
    <n v="3"/>
    <n v="0"/>
    <s v="no"/>
    <s v="yes"/>
    <s v="no"/>
    <s v="yes"/>
    <s v="yes"/>
    <s v="yes"/>
    <s v="yes"/>
    <s v="yes"/>
    <n v="5"/>
    <n v="4"/>
    <n v="5"/>
    <n v="1"/>
    <n v="1"/>
    <n v="4"/>
    <n v="2"/>
    <n v="15"/>
    <n v="15"/>
    <x v="2"/>
    <s v="Pass"/>
    <n v="1"/>
    <n v="0"/>
    <n v="0"/>
    <n v="0"/>
    <n v="50"/>
    <n v="5"/>
    <x v="0"/>
  </r>
  <r>
    <s v="GP"/>
    <s v="M"/>
    <n v="15"/>
    <s v="U"/>
    <s v="LE3"/>
    <s v="A"/>
    <n v="4"/>
    <n v="4"/>
    <s v="teacher"/>
    <s v="teacher"/>
    <s v="course"/>
    <s v="mother"/>
    <n v="1"/>
    <n v="1"/>
    <n v="0"/>
    <s v="no"/>
    <s v="no"/>
    <s v="no"/>
    <s v="yes"/>
    <s v="yes"/>
    <s v="yes"/>
    <s v="yes"/>
    <s v="no"/>
    <n v="5"/>
    <n v="5"/>
    <n v="3"/>
    <n v="1"/>
    <n v="1"/>
    <n v="4"/>
    <n v="4"/>
    <n v="13"/>
    <n v="14"/>
    <x v="2"/>
    <s v="Pass"/>
    <n v="0"/>
    <n v="0"/>
    <n v="0"/>
    <n v="70"/>
    <n v="0"/>
    <n v="14"/>
    <x v="0"/>
  </r>
  <r>
    <s v="GP"/>
    <s v="F"/>
    <n v="16"/>
    <s v="R"/>
    <s v="GT3"/>
    <s v="T"/>
    <n v="3"/>
    <n v="3"/>
    <s v="services"/>
    <s v="other"/>
    <s v="reputation"/>
    <s v="father"/>
    <n v="1"/>
    <n v="3"/>
    <n v="0"/>
    <s v="yes"/>
    <s v="yes"/>
    <s v="no"/>
    <s v="yes"/>
    <s v="yes"/>
    <s v="yes"/>
    <s v="yes"/>
    <s v="no"/>
    <n v="4"/>
    <n v="1"/>
    <n v="2"/>
    <n v="1"/>
    <n v="1"/>
    <n v="2"/>
    <n v="4"/>
    <n v="11"/>
    <n v="11"/>
    <x v="0"/>
    <s v="Pass"/>
    <n v="0"/>
    <n v="0"/>
    <n v="0"/>
    <n v="0"/>
    <n v="0"/>
    <n v="0"/>
    <x v="0"/>
  </r>
  <r>
    <s v="GP"/>
    <s v="F"/>
    <n v="16"/>
    <s v="U"/>
    <s v="GT3"/>
    <s v="T"/>
    <n v="2"/>
    <n v="2"/>
    <s v="at_home"/>
    <s v="other"/>
    <s v="home"/>
    <s v="mother"/>
    <n v="1"/>
    <n v="2"/>
    <n v="1"/>
    <s v="yes"/>
    <s v="no"/>
    <s v="no"/>
    <s v="yes"/>
    <s v="yes"/>
    <s v="yes"/>
    <s v="yes"/>
    <s v="no"/>
    <n v="3"/>
    <n v="1"/>
    <n v="2"/>
    <n v="1"/>
    <n v="1"/>
    <n v="5"/>
    <n v="12"/>
    <n v="8"/>
    <n v="10"/>
    <x v="7"/>
    <s v="Pass"/>
    <n v="0"/>
    <n v="60"/>
    <n v="50"/>
    <n v="40"/>
    <n v="0"/>
    <n v="47"/>
    <x v="1"/>
  </r>
  <r>
    <s v="GP"/>
    <s v="M"/>
    <n v="15"/>
    <s v="U"/>
    <s v="LE3"/>
    <s v="T"/>
    <n v="4"/>
    <n v="2"/>
    <s v="teacher"/>
    <s v="other"/>
    <s v="course"/>
    <s v="mother"/>
    <n v="1"/>
    <n v="1"/>
    <n v="0"/>
    <s v="no"/>
    <s v="no"/>
    <s v="no"/>
    <s v="no"/>
    <s v="yes"/>
    <s v="yes"/>
    <s v="yes"/>
    <s v="no"/>
    <n v="3"/>
    <n v="5"/>
    <n v="2"/>
    <n v="1"/>
    <n v="1"/>
    <n v="3"/>
    <n v="10"/>
    <n v="18"/>
    <n v="17"/>
    <x v="11"/>
    <s v="Pass"/>
    <n v="0"/>
    <n v="0"/>
    <n v="0"/>
    <n v="70"/>
    <n v="0"/>
    <n v="14"/>
    <x v="0"/>
  </r>
  <r>
    <s v="GP"/>
    <s v="M"/>
    <n v="15"/>
    <s v="R"/>
    <s v="GT3"/>
    <s v="T"/>
    <n v="2"/>
    <n v="1"/>
    <s v="health"/>
    <s v="services"/>
    <s v="reputation"/>
    <s v="mother"/>
    <n v="1"/>
    <n v="2"/>
    <n v="0"/>
    <s v="no"/>
    <s v="no"/>
    <s v="no"/>
    <s v="yes"/>
    <s v="yes"/>
    <s v="yes"/>
    <s v="yes"/>
    <s v="yes"/>
    <n v="5"/>
    <n v="4"/>
    <n v="2"/>
    <n v="1"/>
    <n v="1"/>
    <n v="5"/>
    <n v="4"/>
    <n v="10"/>
    <n v="9"/>
    <x v="7"/>
    <s v="Pass"/>
    <n v="0"/>
    <n v="0"/>
    <n v="0"/>
    <n v="40"/>
    <n v="0"/>
    <n v="8"/>
    <x v="0"/>
  </r>
  <r>
    <s v="GP"/>
    <s v="M"/>
    <n v="16"/>
    <s v="U"/>
    <s v="GT3"/>
    <s v="T"/>
    <n v="4"/>
    <n v="4"/>
    <s v="teacher"/>
    <s v="teacher"/>
    <s v="course"/>
    <s v="father"/>
    <n v="1"/>
    <n v="2"/>
    <n v="0"/>
    <s v="no"/>
    <s v="yes"/>
    <s v="no"/>
    <s v="yes"/>
    <s v="yes"/>
    <s v="yes"/>
    <s v="yes"/>
    <s v="no"/>
    <n v="5"/>
    <n v="4"/>
    <n v="4"/>
    <n v="1"/>
    <n v="2"/>
    <n v="5"/>
    <n v="6"/>
    <n v="16"/>
    <n v="14"/>
    <x v="2"/>
    <s v="Pass"/>
    <n v="0"/>
    <n v="0"/>
    <n v="0"/>
    <n v="40"/>
    <n v="0"/>
    <n v="8"/>
    <x v="0"/>
  </r>
  <r>
    <s v="GP"/>
    <s v="M"/>
    <n v="15"/>
    <s v="U"/>
    <s v="GT3"/>
    <s v="T"/>
    <n v="4"/>
    <n v="4"/>
    <s v="other"/>
    <s v="teacher"/>
    <s v="reputation"/>
    <s v="father"/>
    <n v="2"/>
    <n v="2"/>
    <n v="0"/>
    <s v="no"/>
    <s v="yes"/>
    <s v="no"/>
    <s v="yes"/>
    <s v="yes"/>
    <s v="yes"/>
    <s v="no"/>
    <s v="no"/>
    <n v="4"/>
    <n v="4"/>
    <n v="3"/>
    <n v="1"/>
    <n v="1"/>
    <n v="2"/>
    <n v="4"/>
    <n v="16"/>
    <n v="15"/>
    <x v="8"/>
    <s v="Pass"/>
    <n v="0"/>
    <n v="0"/>
    <n v="0"/>
    <n v="40"/>
    <n v="0"/>
    <n v="8"/>
    <x v="0"/>
  </r>
  <r>
    <s v="GP"/>
    <s v="M"/>
    <n v="16"/>
    <s v="U"/>
    <s v="GT3"/>
    <s v="T"/>
    <n v="3"/>
    <n v="3"/>
    <s v="other"/>
    <s v="services"/>
    <s v="home"/>
    <s v="father"/>
    <n v="2"/>
    <n v="1"/>
    <n v="0"/>
    <s v="no"/>
    <s v="no"/>
    <s v="no"/>
    <s v="yes"/>
    <s v="yes"/>
    <s v="yes"/>
    <s v="yes"/>
    <s v="no"/>
    <n v="5"/>
    <n v="4"/>
    <n v="2"/>
    <n v="1"/>
    <n v="1"/>
    <n v="5"/>
    <n v="6"/>
    <n v="14"/>
    <n v="14"/>
    <x v="5"/>
    <s v="Pass"/>
    <n v="0"/>
    <n v="0"/>
    <n v="0"/>
    <n v="70"/>
    <n v="0"/>
    <n v="14"/>
    <x v="0"/>
  </r>
  <r>
    <s v="GP"/>
    <s v="M"/>
    <n v="17"/>
    <s v="R"/>
    <s v="GT3"/>
    <s v="T"/>
    <n v="1"/>
    <n v="3"/>
    <s v="other"/>
    <s v="other"/>
    <s v="course"/>
    <s v="father"/>
    <n v="3"/>
    <n v="2"/>
    <n v="1"/>
    <s v="no"/>
    <s v="yes"/>
    <s v="no"/>
    <s v="yes"/>
    <s v="yes"/>
    <s v="yes"/>
    <s v="yes"/>
    <s v="no"/>
    <n v="5"/>
    <n v="2"/>
    <n v="4"/>
    <n v="1"/>
    <n v="4"/>
    <n v="5"/>
    <n v="14"/>
    <n v="12"/>
    <n v="11"/>
    <x v="0"/>
    <s v="Pass"/>
    <n v="0"/>
    <n v="60"/>
    <n v="50"/>
    <n v="40"/>
    <n v="0"/>
    <n v="47"/>
    <x v="1"/>
  </r>
  <r>
    <s v="GP"/>
    <s v="M"/>
    <n v="15"/>
    <s v="U"/>
    <s v="GT3"/>
    <s v="T"/>
    <n v="3"/>
    <n v="4"/>
    <s v="other"/>
    <s v="other"/>
    <s v="reputation"/>
    <s v="father"/>
    <n v="1"/>
    <n v="1"/>
    <n v="0"/>
    <s v="no"/>
    <s v="no"/>
    <s v="no"/>
    <s v="no"/>
    <s v="yes"/>
    <s v="yes"/>
    <s v="yes"/>
    <s v="no"/>
    <n v="3"/>
    <n v="4"/>
    <n v="3"/>
    <n v="1"/>
    <n v="2"/>
    <n v="4"/>
    <n v="2"/>
    <n v="14"/>
    <n v="13"/>
    <x v="2"/>
    <s v="Pass"/>
    <n v="0"/>
    <n v="0"/>
    <n v="0"/>
    <n v="70"/>
    <n v="0"/>
    <n v="14"/>
    <x v="0"/>
  </r>
  <r>
    <s v="GP"/>
    <s v="F"/>
    <n v="15"/>
    <s v="U"/>
    <s v="GT3"/>
    <s v="T"/>
    <n v="1"/>
    <n v="2"/>
    <s v="at_home"/>
    <s v="services"/>
    <s v="course"/>
    <s v="mother"/>
    <n v="1"/>
    <n v="2"/>
    <n v="0"/>
    <s v="no"/>
    <s v="no"/>
    <s v="no"/>
    <s v="no"/>
    <s v="no"/>
    <s v="yes"/>
    <s v="yes"/>
    <s v="no"/>
    <n v="3"/>
    <n v="2"/>
    <n v="3"/>
    <n v="1"/>
    <n v="2"/>
    <n v="1"/>
    <n v="0"/>
    <n v="14"/>
    <n v="14"/>
    <x v="2"/>
    <s v="Pass"/>
    <n v="0"/>
    <n v="0"/>
    <n v="0"/>
    <n v="40"/>
    <n v="0"/>
    <n v="8"/>
    <x v="0"/>
  </r>
  <r>
    <s v="GP"/>
    <s v="M"/>
    <n v="15"/>
    <s v="U"/>
    <s v="GT3"/>
    <s v="T"/>
    <n v="2"/>
    <n v="2"/>
    <s v="services"/>
    <s v="services"/>
    <s v="home"/>
    <s v="father"/>
    <n v="1"/>
    <n v="4"/>
    <n v="0"/>
    <s v="no"/>
    <s v="yes"/>
    <s v="no"/>
    <s v="yes"/>
    <s v="yes"/>
    <s v="yes"/>
    <s v="yes"/>
    <s v="no"/>
    <n v="5"/>
    <n v="5"/>
    <n v="4"/>
    <n v="1"/>
    <n v="2"/>
    <n v="5"/>
    <n v="6"/>
    <n v="14"/>
    <n v="13"/>
    <x v="3"/>
    <s v="Pass"/>
    <n v="0"/>
    <n v="0"/>
    <n v="0"/>
    <n v="0"/>
    <n v="0"/>
    <n v="0"/>
    <x v="0"/>
  </r>
  <r>
    <s v="GP"/>
    <s v="F"/>
    <n v="16"/>
    <s v="U"/>
    <s v="LE3"/>
    <s v="T"/>
    <n v="2"/>
    <n v="4"/>
    <s v="other"/>
    <s v="health"/>
    <s v="course"/>
    <s v="father"/>
    <n v="2"/>
    <n v="2"/>
    <n v="0"/>
    <s v="no"/>
    <s v="yes"/>
    <s v="no"/>
    <s v="yes"/>
    <s v="yes"/>
    <s v="yes"/>
    <s v="yes"/>
    <s v="yes"/>
    <n v="4"/>
    <n v="2"/>
    <n v="2"/>
    <n v="1"/>
    <n v="2"/>
    <n v="5"/>
    <n v="2"/>
    <n v="14"/>
    <n v="12"/>
    <x v="3"/>
    <s v="Pass"/>
    <n v="0"/>
    <n v="0"/>
    <n v="0"/>
    <n v="40"/>
    <n v="0"/>
    <n v="8"/>
    <x v="0"/>
  </r>
  <r>
    <s v="GP"/>
    <s v="M"/>
    <n v="16"/>
    <s v="U"/>
    <s v="GT3"/>
    <s v="T"/>
    <n v="4"/>
    <n v="4"/>
    <s v="health"/>
    <s v="other"/>
    <s v="course"/>
    <s v="mother"/>
    <n v="1"/>
    <n v="1"/>
    <n v="0"/>
    <s v="no"/>
    <s v="yes"/>
    <s v="no"/>
    <s v="yes"/>
    <s v="yes"/>
    <s v="yes"/>
    <s v="yes"/>
    <s v="no"/>
    <n v="3"/>
    <n v="4"/>
    <n v="4"/>
    <n v="1"/>
    <n v="4"/>
    <n v="5"/>
    <n v="4"/>
    <n v="12"/>
    <n v="13"/>
    <x v="3"/>
    <s v="Pass"/>
    <n v="0"/>
    <n v="0"/>
    <n v="0"/>
    <n v="70"/>
    <n v="0"/>
    <n v="14"/>
    <x v="0"/>
  </r>
  <r>
    <s v="GP"/>
    <s v="F"/>
    <n v="16"/>
    <s v="U"/>
    <s v="GT3"/>
    <s v="T"/>
    <n v="2"/>
    <n v="2"/>
    <s v="other"/>
    <s v="other"/>
    <s v="home"/>
    <s v="mother"/>
    <n v="1"/>
    <n v="2"/>
    <n v="0"/>
    <s v="no"/>
    <s v="no"/>
    <s v="no"/>
    <s v="no"/>
    <s v="yes"/>
    <s v="yes"/>
    <s v="yes"/>
    <s v="yes"/>
    <n v="5"/>
    <n v="4"/>
    <n v="4"/>
    <n v="1"/>
    <n v="1"/>
    <n v="5"/>
    <n v="0"/>
    <n v="12"/>
    <n v="11"/>
    <x v="0"/>
    <s v="Pass"/>
    <n v="0"/>
    <n v="0"/>
    <n v="0"/>
    <n v="40"/>
    <n v="0"/>
    <n v="8"/>
    <x v="0"/>
  </r>
  <r>
    <s v="GP"/>
    <s v="M"/>
    <n v="15"/>
    <s v="U"/>
    <s v="GT3"/>
    <s v="T"/>
    <n v="3"/>
    <n v="4"/>
    <s v="services"/>
    <s v="services"/>
    <s v="home"/>
    <s v="father"/>
    <n v="1"/>
    <n v="1"/>
    <n v="0"/>
    <s v="yes"/>
    <s v="no"/>
    <s v="no"/>
    <s v="no"/>
    <s v="yes"/>
    <s v="yes"/>
    <s v="yes"/>
    <s v="no"/>
    <n v="5"/>
    <n v="5"/>
    <n v="5"/>
    <n v="3"/>
    <n v="2"/>
    <n v="5"/>
    <n v="2"/>
    <n v="9"/>
    <n v="9"/>
    <x v="9"/>
    <s v="Fail"/>
    <n v="0"/>
    <n v="0"/>
    <n v="0"/>
    <n v="70"/>
    <n v="0"/>
    <n v="14"/>
    <x v="0"/>
  </r>
  <r>
    <s v="GP"/>
    <s v="F"/>
    <n v="15"/>
    <s v="U"/>
    <s v="LE3"/>
    <s v="A"/>
    <n v="3"/>
    <n v="4"/>
    <s v="other"/>
    <s v="other"/>
    <s v="home"/>
    <s v="mother"/>
    <n v="1"/>
    <n v="2"/>
    <n v="0"/>
    <s v="yes"/>
    <s v="no"/>
    <s v="no"/>
    <s v="yes"/>
    <s v="yes"/>
    <s v="yes"/>
    <s v="yes"/>
    <s v="yes"/>
    <n v="5"/>
    <n v="3"/>
    <n v="2"/>
    <n v="1"/>
    <n v="1"/>
    <n v="1"/>
    <n v="0"/>
    <n v="10"/>
    <n v="11"/>
    <x v="0"/>
    <s v="Pass"/>
    <n v="0"/>
    <n v="0"/>
    <n v="0"/>
    <n v="40"/>
    <n v="0"/>
    <n v="8"/>
    <x v="0"/>
  </r>
  <r>
    <s v="GP"/>
    <s v="F"/>
    <n v="19"/>
    <s v="U"/>
    <s v="GT3"/>
    <s v="T"/>
    <n v="0"/>
    <n v="1"/>
    <s v="at_home"/>
    <s v="other"/>
    <s v="course"/>
    <s v="other"/>
    <n v="1"/>
    <n v="2"/>
    <n v="2"/>
    <s v="no"/>
    <s v="yes"/>
    <s v="no"/>
    <s v="no"/>
    <s v="no"/>
    <s v="no"/>
    <s v="no"/>
    <s v="no"/>
    <n v="3"/>
    <n v="4"/>
    <n v="2"/>
    <n v="1"/>
    <n v="1"/>
    <n v="5"/>
    <n v="0"/>
    <n v="9"/>
    <n v="10"/>
    <x v="0"/>
    <s v="Pass"/>
    <n v="0"/>
    <n v="100"/>
    <n v="0"/>
    <n v="40"/>
    <n v="0"/>
    <n v="48"/>
    <x v="1"/>
  </r>
  <r>
    <s v="GP"/>
    <s v="M"/>
    <n v="16"/>
    <s v="R"/>
    <s v="GT3"/>
    <s v="T"/>
    <n v="4"/>
    <n v="4"/>
    <s v="teacher"/>
    <s v="teacher"/>
    <s v="course"/>
    <s v="mother"/>
    <n v="1"/>
    <n v="1"/>
    <n v="0"/>
    <s v="no"/>
    <s v="no"/>
    <s v="no"/>
    <s v="yes"/>
    <s v="yes"/>
    <s v="yes"/>
    <s v="yes"/>
    <s v="no"/>
    <n v="3"/>
    <n v="5"/>
    <n v="5"/>
    <n v="2"/>
    <n v="5"/>
    <n v="4"/>
    <n v="8"/>
    <n v="14"/>
    <n v="14"/>
    <x v="5"/>
    <s v="Pass"/>
    <n v="0"/>
    <n v="0"/>
    <n v="0"/>
    <n v="70"/>
    <n v="0"/>
    <n v="14"/>
    <x v="0"/>
  </r>
  <r>
    <s v="GP"/>
    <s v="M"/>
    <n v="16"/>
    <s v="U"/>
    <s v="GT3"/>
    <s v="T"/>
    <n v="2"/>
    <n v="3"/>
    <s v="other"/>
    <s v="other"/>
    <s v="course"/>
    <s v="mother"/>
    <n v="2"/>
    <n v="3"/>
    <n v="0"/>
    <s v="no"/>
    <s v="yes"/>
    <s v="no"/>
    <s v="no"/>
    <s v="no"/>
    <s v="yes"/>
    <s v="yes"/>
    <s v="yes"/>
    <n v="3"/>
    <n v="2"/>
    <n v="3"/>
    <n v="2"/>
    <n v="2"/>
    <n v="1"/>
    <n v="4"/>
    <n v="13"/>
    <n v="12"/>
    <x v="3"/>
    <s v="Pass"/>
    <n v="0"/>
    <n v="0"/>
    <n v="0"/>
    <n v="0"/>
    <n v="0"/>
    <n v="0"/>
    <x v="0"/>
  </r>
  <r>
    <s v="GP"/>
    <s v="F"/>
    <n v="15"/>
    <s v="R"/>
    <s v="GT3"/>
    <s v="T"/>
    <n v="3"/>
    <n v="4"/>
    <s v="services"/>
    <s v="teacher"/>
    <s v="course"/>
    <s v="father"/>
    <n v="2"/>
    <n v="3"/>
    <n v="0"/>
    <s v="no"/>
    <s v="yes"/>
    <s v="no"/>
    <s v="no"/>
    <s v="yes"/>
    <s v="yes"/>
    <s v="yes"/>
    <s v="yes"/>
    <n v="4"/>
    <n v="2"/>
    <n v="2"/>
    <n v="2"/>
    <n v="2"/>
    <n v="5"/>
    <n v="0"/>
    <n v="10"/>
    <n v="11"/>
    <x v="1"/>
    <s v="Pass"/>
    <n v="0"/>
    <n v="0"/>
    <n v="0"/>
    <n v="0"/>
    <n v="0"/>
    <n v="0"/>
    <x v="0"/>
  </r>
  <r>
    <s v="GP"/>
    <s v="F"/>
    <n v="18"/>
    <s v="U"/>
    <s v="GT3"/>
    <s v="T"/>
    <n v="2"/>
    <n v="1"/>
    <s v="services"/>
    <s v="other"/>
    <s v="reputation"/>
    <s v="mother"/>
    <n v="1"/>
    <n v="2"/>
    <n v="3"/>
    <s v="no"/>
    <s v="yes"/>
    <s v="no"/>
    <s v="yes"/>
    <s v="yes"/>
    <s v="no"/>
    <s v="yes"/>
    <s v="yes"/>
    <n v="5"/>
    <n v="4"/>
    <n v="5"/>
    <n v="1"/>
    <n v="3"/>
    <n v="5"/>
    <n v="10"/>
    <n v="10"/>
    <n v="9"/>
    <x v="10"/>
    <s v="Fail"/>
    <n v="1"/>
    <n v="100"/>
    <n v="0"/>
    <n v="40"/>
    <n v="50"/>
    <n v="53"/>
    <x v="1"/>
  </r>
  <r>
    <s v="GP"/>
    <s v="F"/>
    <n v="17"/>
    <s v="U"/>
    <s v="LE3"/>
    <s v="A"/>
    <n v="2"/>
    <n v="1"/>
    <s v="other"/>
    <s v="other"/>
    <s v="course"/>
    <s v="mother"/>
    <n v="3"/>
    <n v="1"/>
    <n v="0"/>
    <s v="no"/>
    <s v="yes"/>
    <s v="no"/>
    <s v="no"/>
    <s v="yes"/>
    <s v="yes"/>
    <s v="yes"/>
    <s v="no"/>
    <n v="3"/>
    <n v="2"/>
    <n v="2"/>
    <n v="1"/>
    <n v="2"/>
    <n v="5"/>
    <n v="8"/>
    <n v="11"/>
    <n v="10"/>
    <x v="0"/>
    <s v="Pass"/>
    <n v="0"/>
    <n v="0"/>
    <n v="0"/>
    <n v="70"/>
    <n v="0"/>
    <n v="14"/>
    <x v="0"/>
  </r>
  <r>
    <s v="GP"/>
    <s v="F"/>
    <n v="15"/>
    <s v="U"/>
    <s v="GT3"/>
    <s v="T"/>
    <n v="1"/>
    <n v="1"/>
    <s v="at_home"/>
    <s v="other"/>
    <s v="course"/>
    <s v="mother"/>
    <n v="3"/>
    <n v="1"/>
    <n v="0"/>
    <s v="no"/>
    <s v="yes"/>
    <s v="no"/>
    <s v="yes"/>
    <s v="no"/>
    <s v="yes"/>
    <s v="yes"/>
    <s v="yes"/>
    <n v="4"/>
    <n v="3"/>
    <n v="3"/>
    <n v="1"/>
    <n v="2"/>
    <n v="4"/>
    <n v="6"/>
    <n v="11"/>
    <n v="12"/>
    <x v="3"/>
    <s v="Pass"/>
    <n v="0"/>
    <n v="0"/>
    <n v="0"/>
    <n v="70"/>
    <n v="0"/>
    <n v="14"/>
    <x v="0"/>
  </r>
  <r>
    <s v="GP"/>
    <s v="F"/>
    <n v="17"/>
    <s v="U"/>
    <s v="LE3"/>
    <s v="T"/>
    <n v="2"/>
    <n v="2"/>
    <s v="other"/>
    <s v="other"/>
    <s v="course"/>
    <s v="father"/>
    <n v="1"/>
    <n v="1"/>
    <n v="0"/>
    <s v="no"/>
    <s v="yes"/>
    <s v="no"/>
    <s v="no"/>
    <s v="yes"/>
    <s v="yes"/>
    <s v="yes"/>
    <s v="yes"/>
    <n v="3"/>
    <n v="4"/>
    <n v="4"/>
    <n v="1"/>
    <n v="3"/>
    <n v="5"/>
    <n v="2"/>
    <n v="13"/>
    <n v="12"/>
    <x v="1"/>
    <s v="Pass"/>
    <n v="0"/>
    <n v="0"/>
    <n v="0"/>
    <n v="70"/>
    <n v="0"/>
    <n v="14"/>
    <x v="0"/>
  </r>
  <r>
    <s v="GP"/>
    <s v="F"/>
    <n v="16"/>
    <s v="U"/>
    <s v="GT3"/>
    <s v="A"/>
    <n v="3"/>
    <n v="4"/>
    <s v="services"/>
    <s v="other"/>
    <s v="course"/>
    <s v="father"/>
    <n v="1"/>
    <n v="1"/>
    <n v="0"/>
    <s v="no"/>
    <s v="no"/>
    <s v="no"/>
    <s v="no"/>
    <s v="yes"/>
    <s v="yes"/>
    <s v="yes"/>
    <s v="no"/>
    <n v="3"/>
    <n v="2"/>
    <n v="1"/>
    <n v="1"/>
    <n v="4"/>
    <n v="5"/>
    <n v="12"/>
    <n v="15"/>
    <n v="13"/>
    <x v="2"/>
    <s v="Pass"/>
    <n v="0"/>
    <n v="0"/>
    <n v="50"/>
    <n v="70"/>
    <n v="0"/>
    <n v="29"/>
    <x v="0"/>
  </r>
  <r>
    <s v="GP"/>
    <s v="M"/>
    <n v="16"/>
    <s v="U"/>
    <s v="GT3"/>
    <s v="T"/>
    <n v="2"/>
    <n v="1"/>
    <s v="at_home"/>
    <s v="other"/>
    <s v="course"/>
    <s v="mother"/>
    <n v="4"/>
    <n v="1"/>
    <n v="0"/>
    <s v="no"/>
    <s v="no"/>
    <s v="no"/>
    <s v="no"/>
    <s v="yes"/>
    <s v="yes"/>
    <s v="no"/>
    <s v="no"/>
    <n v="3"/>
    <n v="2"/>
    <n v="1"/>
    <n v="1"/>
    <n v="1"/>
    <n v="2"/>
    <n v="4"/>
    <n v="9"/>
    <n v="9"/>
    <x v="0"/>
    <s v="Pass"/>
    <n v="0"/>
    <n v="0"/>
    <n v="0"/>
    <n v="70"/>
    <n v="0"/>
    <n v="14"/>
    <x v="0"/>
  </r>
  <r>
    <s v="GP"/>
    <s v="F"/>
    <n v="16"/>
    <s v="U"/>
    <s v="GT3"/>
    <s v="A"/>
    <n v="2"/>
    <n v="2"/>
    <s v="other"/>
    <s v="other"/>
    <s v="home"/>
    <s v="mother"/>
    <n v="1"/>
    <n v="1"/>
    <n v="1"/>
    <s v="no"/>
    <s v="no"/>
    <s v="no"/>
    <s v="no"/>
    <s v="yes"/>
    <s v="yes"/>
    <s v="no"/>
    <s v="no"/>
    <n v="5"/>
    <n v="3"/>
    <n v="4"/>
    <n v="1"/>
    <n v="1"/>
    <n v="5"/>
    <n v="12"/>
    <n v="13"/>
    <n v="11"/>
    <x v="0"/>
    <s v="Pass"/>
    <n v="0"/>
    <n v="60"/>
    <n v="50"/>
    <n v="70"/>
    <n v="0"/>
    <n v="53"/>
    <x v="1"/>
  </r>
  <r>
    <s v="GP"/>
    <s v="M"/>
    <n v="15"/>
    <s v="R"/>
    <s v="GT3"/>
    <s v="T"/>
    <n v="3"/>
    <n v="4"/>
    <s v="at_home"/>
    <s v="teacher"/>
    <s v="course"/>
    <s v="mother"/>
    <n v="4"/>
    <n v="2"/>
    <n v="0"/>
    <s v="no"/>
    <s v="yes"/>
    <s v="no"/>
    <s v="no"/>
    <s v="yes"/>
    <s v="yes"/>
    <s v="no"/>
    <s v="yes"/>
    <n v="5"/>
    <n v="3"/>
    <n v="3"/>
    <n v="1"/>
    <n v="1"/>
    <n v="5"/>
    <n v="2"/>
    <n v="12"/>
    <n v="11"/>
    <x v="0"/>
    <s v="Pass"/>
    <n v="0"/>
    <n v="0"/>
    <n v="0"/>
    <n v="40"/>
    <n v="0"/>
    <n v="8"/>
    <x v="0"/>
  </r>
  <r>
    <s v="GP"/>
    <s v="F"/>
    <n v="15"/>
    <s v="U"/>
    <s v="GT3"/>
    <s v="T"/>
    <n v="4"/>
    <n v="4"/>
    <s v="services"/>
    <s v="at_home"/>
    <s v="course"/>
    <s v="mother"/>
    <n v="1"/>
    <n v="3"/>
    <n v="0"/>
    <s v="no"/>
    <s v="yes"/>
    <s v="no"/>
    <s v="yes"/>
    <s v="yes"/>
    <s v="yes"/>
    <s v="yes"/>
    <s v="yes"/>
    <n v="4"/>
    <n v="3"/>
    <n v="3"/>
    <n v="1"/>
    <n v="1"/>
    <n v="5"/>
    <n v="4"/>
    <n v="13"/>
    <n v="14"/>
    <x v="5"/>
    <s v="Pass"/>
    <n v="0"/>
    <n v="0"/>
    <n v="0"/>
    <n v="0"/>
    <n v="0"/>
    <n v="0"/>
    <x v="0"/>
  </r>
  <r>
    <s v="GP"/>
    <s v="M"/>
    <n v="17"/>
    <s v="R"/>
    <s v="GT3"/>
    <s v="T"/>
    <n v="3"/>
    <n v="4"/>
    <s v="at_home"/>
    <s v="other"/>
    <s v="course"/>
    <s v="mother"/>
    <n v="3"/>
    <n v="2"/>
    <n v="0"/>
    <s v="no"/>
    <s v="no"/>
    <s v="no"/>
    <s v="no"/>
    <s v="yes"/>
    <s v="yes"/>
    <s v="no"/>
    <s v="no"/>
    <n v="5"/>
    <n v="4"/>
    <n v="5"/>
    <n v="2"/>
    <n v="4"/>
    <n v="5"/>
    <n v="2"/>
    <n v="10"/>
    <n v="9"/>
    <x v="7"/>
    <s v="Pass"/>
    <n v="0"/>
    <n v="0"/>
    <n v="0"/>
    <n v="40"/>
    <n v="0"/>
    <n v="8"/>
    <x v="0"/>
  </r>
  <r>
    <s v="GP"/>
    <s v="F"/>
    <n v="16"/>
    <s v="R"/>
    <s v="GT3"/>
    <s v="T"/>
    <n v="1"/>
    <n v="1"/>
    <s v="at_home"/>
    <s v="other"/>
    <s v="course"/>
    <s v="mother"/>
    <n v="4"/>
    <n v="2"/>
    <n v="0"/>
    <s v="no"/>
    <s v="yes"/>
    <s v="no"/>
    <s v="no"/>
    <s v="yes"/>
    <s v="yes"/>
    <s v="no"/>
    <s v="no"/>
    <n v="5"/>
    <n v="1"/>
    <n v="3"/>
    <n v="1"/>
    <n v="1"/>
    <n v="3"/>
    <n v="0"/>
    <n v="14"/>
    <n v="13"/>
    <x v="3"/>
    <s v="Pass"/>
    <n v="0"/>
    <n v="0"/>
    <n v="0"/>
    <n v="40"/>
    <n v="0"/>
    <n v="8"/>
    <x v="0"/>
  </r>
  <r>
    <s v="GP"/>
    <s v="M"/>
    <n v="18"/>
    <s v="U"/>
    <s v="LE3"/>
    <s v="T"/>
    <n v="3"/>
    <n v="1"/>
    <s v="services"/>
    <s v="services"/>
    <s v="course"/>
    <s v="mother"/>
    <n v="2"/>
    <n v="1"/>
    <n v="0"/>
    <s v="no"/>
    <s v="no"/>
    <s v="no"/>
    <s v="yes"/>
    <s v="yes"/>
    <s v="yes"/>
    <s v="yes"/>
    <s v="yes"/>
    <n v="3"/>
    <n v="3"/>
    <n v="4"/>
    <n v="4"/>
    <n v="5"/>
    <n v="4"/>
    <n v="2"/>
    <n v="11"/>
    <n v="11"/>
    <x v="1"/>
    <s v="Pass"/>
    <n v="0"/>
    <n v="0"/>
    <n v="0"/>
    <n v="70"/>
    <n v="0"/>
    <n v="14"/>
    <x v="0"/>
  </r>
  <r>
    <s v="GP"/>
    <s v="F"/>
    <n v="18"/>
    <s v="U"/>
    <s v="GT3"/>
    <s v="A"/>
    <n v="3"/>
    <n v="2"/>
    <s v="other"/>
    <s v="services"/>
    <s v="course"/>
    <s v="other"/>
    <n v="1"/>
    <n v="3"/>
    <n v="0"/>
    <s v="no"/>
    <s v="yes"/>
    <s v="no"/>
    <s v="yes"/>
    <s v="no"/>
    <s v="yes"/>
    <s v="yes"/>
    <s v="yes"/>
    <n v="4"/>
    <n v="3"/>
    <n v="3"/>
    <n v="5"/>
    <n v="1"/>
    <n v="5"/>
    <n v="10"/>
    <n v="12"/>
    <n v="11"/>
    <x v="0"/>
    <s v="Pass"/>
    <n v="0"/>
    <n v="0"/>
    <n v="0"/>
    <n v="0"/>
    <n v="0"/>
    <n v="0"/>
    <x v="0"/>
  </r>
  <r>
    <s v="GP"/>
    <s v="F"/>
    <n v="16"/>
    <s v="R"/>
    <s v="GT3"/>
    <s v="T"/>
    <n v="1"/>
    <n v="1"/>
    <s v="other"/>
    <s v="services"/>
    <s v="reputation"/>
    <s v="mother"/>
    <n v="2"/>
    <n v="1"/>
    <n v="0"/>
    <s v="no"/>
    <s v="yes"/>
    <s v="no"/>
    <s v="yes"/>
    <s v="yes"/>
    <s v="yes"/>
    <s v="no"/>
    <s v="yes"/>
    <n v="3"/>
    <n v="3"/>
    <n v="3"/>
    <n v="1"/>
    <n v="2"/>
    <n v="1"/>
    <n v="8"/>
    <n v="12"/>
    <n v="11"/>
    <x v="0"/>
    <s v="Pass"/>
    <n v="0"/>
    <n v="0"/>
    <n v="0"/>
    <n v="70"/>
    <n v="0"/>
    <n v="14"/>
    <x v="0"/>
  </r>
  <r>
    <s v="GP"/>
    <s v="F"/>
    <n v="16"/>
    <s v="U"/>
    <s v="GT3"/>
    <s v="A"/>
    <n v="3"/>
    <n v="3"/>
    <s v="other"/>
    <s v="other"/>
    <s v="course"/>
    <s v="other"/>
    <n v="2"/>
    <n v="1"/>
    <n v="0"/>
    <s v="no"/>
    <s v="yes"/>
    <s v="no"/>
    <s v="yes"/>
    <s v="no"/>
    <s v="yes"/>
    <s v="yes"/>
    <s v="yes"/>
    <n v="4"/>
    <n v="3"/>
    <n v="2"/>
    <n v="1"/>
    <n v="1"/>
    <n v="5"/>
    <n v="4"/>
    <n v="9"/>
    <n v="9"/>
    <x v="7"/>
    <s v="Pass"/>
    <n v="0"/>
    <n v="0"/>
    <n v="0"/>
    <n v="70"/>
    <n v="0"/>
    <n v="14"/>
    <x v="0"/>
  </r>
  <r>
    <s v="GP"/>
    <s v="M"/>
    <n v="16"/>
    <s v="U"/>
    <s v="LE3"/>
    <s v="T"/>
    <n v="1"/>
    <n v="1"/>
    <s v="services"/>
    <s v="other"/>
    <s v="course"/>
    <s v="mother"/>
    <n v="1"/>
    <n v="2"/>
    <n v="2"/>
    <s v="no"/>
    <s v="no"/>
    <s v="no"/>
    <s v="no"/>
    <s v="yes"/>
    <s v="yes"/>
    <s v="no"/>
    <s v="yes"/>
    <n v="4"/>
    <n v="4"/>
    <n v="4"/>
    <n v="1"/>
    <n v="3"/>
    <n v="5"/>
    <n v="0"/>
    <n v="10"/>
    <n v="10"/>
    <x v="7"/>
    <s v="Pass"/>
    <n v="0"/>
    <n v="100"/>
    <n v="0"/>
    <n v="40"/>
    <n v="0"/>
    <n v="48"/>
    <x v="1"/>
  </r>
  <r>
    <s v="GP"/>
    <s v="F"/>
    <n v="15"/>
    <s v="U"/>
    <s v="GT3"/>
    <s v="T"/>
    <n v="4"/>
    <n v="4"/>
    <s v="teacher"/>
    <s v="teacher"/>
    <s v="course"/>
    <s v="mother"/>
    <n v="2"/>
    <n v="1"/>
    <n v="0"/>
    <s v="no"/>
    <s v="no"/>
    <s v="no"/>
    <s v="yes"/>
    <s v="yes"/>
    <s v="yes"/>
    <s v="yes"/>
    <s v="no"/>
    <n v="4"/>
    <n v="3"/>
    <n v="2"/>
    <n v="1"/>
    <n v="1"/>
    <n v="5"/>
    <n v="6"/>
    <n v="13"/>
    <n v="14"/>
    <x v="2"/>
    <s v="Pass"/>
    <n v="0"/>
    <n v="0"/>
    <n v="0"/>
    <n v="70"/>
    <n v="0"/>
    <n v="14"/>
    <x v="0"/>
  </r>
  <r>
    <s v="GP"/>
    <s v="F"/>
    <n v="15"/>
    <s v="R"/>
    <s v="GT3"/>
    <s v="T"/>
    <n v="1"/>
    <n v="1"/>
    <s v="other"/>
    <s v="other"/>
    <s v="course"/>
    <s v="mother"/>
    <n v="3"/>
    <n v="1"/>
    <n v="1"/>
    <s v="no"/>
    <s v="no"/>
    <s v="no"/>
    <s v="yes"/>
    <s v="yes"/>
    <s v="yes"/>
    <s v="yes"/>
    <s v="yes"/>
    <n v="5"/>
    <n v="5"/>
    <n v="5"/>
    <n v="1"/>
    <n v="1"/>
    <n v="1"/>
    <n v="2"/>
    <n v="8"/>
    <n v="9"/>
    <x v="9"/>
    <s v="Fail"/>
    <n v="0"/>
    <n v="60"/>
    <n v="0"/>
    <n v="70"/>
    <n v="0"/>
    <n v="38"/>
    <x v="1"/>
  </r>
  <r>
    <s v="GP"/>
    <s v="M"/>
    <n v="15"/>
    <s v="U"/>
    <s v="GT3"/>
    <s v="T"/>
    <n v="4"/>
    <n v="3"/>
    <s v="teacher"/>
    <s v="services"/>
    <s v="course"/>
    <s v="father"/>
    <n v="2"/>
    <n v="4"/>
    <n v="0"/>
    <s v="yes"/>
    <s v="yes"/>
    <s v="no"/>
    <s v="no"/>
    <s v="yes"/>
    <s v="yes"/>
    <s v="yes"/>
    <s v="no"/>
    <n v="2"/>
    <n v="2"/>
    <n v="2"/>
    <n v="1"/>
    <n v="1"/>
    <n v="3"/>
    <n v="6"/>
    <n v="9"/>
    <n v="11"/>
    <x v="0"/>
    <s v="Pass"/>
    <n v="0"/>
    <n v="0"/>
    <n v="0"/>
    <n v="0"/>
    <n v="0"/>
    <n v="0"/>
    <x v="0"/>
  </r>
  <r>
    <s v="GP"/>
    <s v="F"/>
    <n v="15"/>
    <s v="U"/>
    <s v="GT3"/>
    <s v="A"/>
    <n v="3"/>
    <n v="3"/>
    <s v="services"/>
    <s v="services"/>
    <s v="home"/>
    <s v="mother"/>
    <n v="1"/>
    <n v="2"/>
    <n v="0"/>
    <s v="no"/>
    <s v="no"/>
    <s v="no"/>
    <s v="no"/>
    <s v="no"/>
    <s v="yes"/>
    <s v="no"/>
    <s v="yes"/>
    <n v="1"/>
    <n v="3"/>
    <n v="2"/>
    <n v="2"/>
    <n v="3"/>
    <n v="1"/>
    <n v="24"/>
    <n v="9"/>
    <n v="8"/>
    <x v="9"/>
    <s v="Fail"/>
    <n v="0"/>
    <n v="0"/>
    <n v="80"/>
    <n v="40"/>
    <n v="0"/>
    <n v="32"/>
    <x v="1"/>
  </r>
  <r>
    <s v="GP"/>
    <s v="M"/>
    <n v="16"/>
    <s v="U"/>
    <s v="GT3"/>
    <s v="T"/>
    <n v="4"/>
    <n v="4"/>
    <s v="services"/>
    <s v="services"/>
    <s v="course"/>
    <s v="mother"/>
    <n v="1"/>
    <n v="3"/>
    <n v="0"/>
    <s v="no"/>
    <s v="yes"/>
    <s v="no"/>
    <s v="yes"/>
    <s v="yes"/>
    <s v="yes"/>
    <s v="yes"/>
    <s v="no"/>
    <n v="5"/>
    <n v="3"/>
    <n v="3"/>
    <n v="1"/>
    <n v="3"/>
    <n v="5"/>
    <n v="0"/>
    <n v="15"/>
    <n v="13"/>
    <x v="3"/>
    <s v="Pass"/>
    <n v="0"/>
    <n v="0"/>
    <n v="0"/>
    <n v="0"/>
    <n v="0"/>
    <n v="0"/>
    <x v="0"/>
  </r>
  <r>
    <s v="GP"/>
    <s v="M"/>
    <n v="16"/>
    <s v="U"/>
    <s v="LE3"/>
    <s v="T"/>
    <n v="2"/>
    <n v="2"/>
    <s v="services"/>
    <s v="services"/>
    <s v="reputation"/>
    <s v="father"/>
    <n v="2"/>
    <n v="1"/>
    <n v="0"/>
    <s v="no"/>
    <s v="yes"/>
    <s v="no"/>
    <s v="yes"/>
    <s v="yes"/>
    <s v="yes"/>
    <s v="yes"/>
    <s v="no"/>
    <n v="2"/>
    <n v="3"/>
    <n v="3"/>
    <n v="2"/>
    <n v="2"/>
    <n v="2"/>
    <n v="4"/>
    <n v="12"/>
    <n v="11"/>
    <x v="0"/>
    <s v="Pass"/>
    <n v="0"/>
    <n v="0"/>
    <n v="0"/>
    <n v="70"/>
    <n v="0"/>
    <n v="14"/>
    <x v="0"/>
  </r>
  <r>
    <s v="GP"/>
    <s v="F"/>
    <n v="15"/>
    <s v="U"/>
    <s v="GT3"/>
    <s v="T"/>
    <n v="4"/>
    <n v="4"/>
    <s v="teacher"/>
    <s v="services"/>
    <s v="course"/>
    <s v="mother"/>
    <n v="1"/>
    <n v="3"/>
    <n v="0"/>
    <s v="no"/>
    <s v="yes"/>
    <s v="no"/>
    <s v="yes"/>
    <s v="yes"/>
    <s v="yes"/>
    <s v="yes"/>
    <s v="no"/>
    <n v="4"/>
    <n v="2"/>
    <n v="2"/>
    <n v="1"/>
    <n v="1"/>
    <n v="5"/>
    <n v="2"/>
    <n v="13"/>
    <n v="13"/>
    <x v="3"/>
    <s v="Pass"/>
    <n v="0"/>
    <n v="0"/>
    <n v="0"/>
    <n v="0"/>
    <n v="0"/>
    <n v="0"/>
    <x v="0"/>
  </r>
  <r>
    <s v="GP"/>
    <s v="F"/>
    <n v="16"/>
    <s v="U"/>
    <s v="LE3"/>
    <s v="T"/>
    <n v="1"/>
    <n v="1"/>
    <s v="at_home"/>
    <s v="at_home"/>
    <s v="course"/>
    <s v="mother"/>
    <n v="1"/>
    <n v="1"/>
    <n v="0"/>
    <s v="no"/>
    <s v="no"/>
    <s v="no"/>
    <s v="no"/>
    <s v="yes"/>
    <s v="yes"/>
    <s v="yes"/>
    <s v="no"/>
    <n v="3"/>
    <n v="4"/>
    <n v="4"/>
    <n v="3"/>
    <n v="3"/>
    <n v="1"/>
    <n v="4"/>
    <n v="10"/>
    <n v="11"/>
    <x v="0"/>
    <s v="Pass"/>
    <n v="0"/>
    <n v="0"/>
    <n v="0"/>
    <n v="70"/>
    <n v="0"/>
    <n v="14"/>
    <x v="0"/>
  </r>
  <r>
    <s v="GP"/>
    <s v="M"/>
    <n v="17"/>
    <s v="U"/>
    <s v="GT3"/>
    <s v="T"/>
    <n v="2"/>
    <n v="1"/>
    <s v="other"/>
    <s v="other"/>
    <s v="home"/>
    <s v="mother"/>
    <n v="1"/>
    <n v="1"/>
    <n v="0"/>
    <s v="no"/>
    <s v="yes"/>
    <s v="no"/>
    <s v="no"/>
    <s v="yes"/>
    <s v="yes"/>
    <s v="yes"/>
    <s v="no"/>
    <n v="5"/>
    <n v="4"/>
    <n v="5"/>
    <n v="1"/>
    <n v="2"/>
    <n v="5"/>
    <n v="22"/>
    <n v="9"/>
    <n v="7"/>
    <x v="12"/>
    <s v="Fail"/>
    <n v="1"/>
    <n v="0"/>
    <n v="80"/>
    <n v="70"/>
    <n v="50"/>
    <n v="43"/>
    <x v="1"/>
  </r>
  <r>
    <s v="GP"/>
    <s v="F"/>
    <n v="15"/>
    <s v="U"/>
    <s v="GT3"/>
    <s v="T"/>
    <n v="1"/>
    <n v="1"/>
    <s v="other"/>
    <s v="services"/>
    <s v="course"/>
    <s v="father"/>
    <n v="1"/>
    <n v="2"/>
    <n v="0"/>
    <s v="no"/>
    <s v="yes"/>
    <s v="no"/>
    <s v="no"/>
    <s v="yes"/>
    <s v="yes"/>
    <s v="yes"/>
    <s v="no"/>
    <n v="4"/>
    <n v="4"/>
    <n v="2"/>
    <n v="1"/>
    <n v="2"/>
    <n v="5"/>
    <n v="0"/>
    <n v="12"/>
    <n v="12"/>
    <x v="1"/>
    <s v="Pass"/>
    <n v="0"/>
    <n v="0"/>
    <n v="0"/>
    <n v="40"/>
    <n v="0"/>
    <n v="8"/>
    <x v="0"/>
  </r>
  <r>
    <s v="GP"/>
    <s v="F"/>
    <n v="15"/>
    <s v="U"/>
    <s v="LE3"/>
    <s v="A"/>
    <n v="2"/>
    <n v="1"/>
    <s v="at_home"/>
    <s v="other"/>
    <s v="home"/>
    <s v="mother"/>
    <n v="2"/>
    <n v="1"/>
    <n v="0"/>
    <s v="no"/>
    <s v="yes"/>
    <s v="no"/>
    <s v="yes"/>
    <s v="yes"/>
    <s v="no"/>
    <s v="yes"/>
    <s v="yes"/>
    <n v="4"/>
    <n v="4"/>
    <n v="2"/>
    <n v="1"/>
    <n v="1"/>
    <n v="5"/>
    <n v="0"/>
    <n v="11"/>
    <n v="10"/>
    <x v="7"/>
    <s v="Pass"/>
    <n v="0"/>
    <n v="0"/>
    <n v="0"/>
    <n v="70"/>
    <n v="0"/>
    <n v="14"/>
    <x v="0"/>
  </r>
  <r>
    <s v="GP"/>
    <s v="F"/>
    <n v="15"/>
    <s v="U"/>
    <s v="GT3"/>
    <s v="T"/>
    <n v="3"/>
    <n v="2"/>
    <s v="health"/>
    <s v="services"/>
    <s v="home"/>
    <s v="father"/>
    <n v="1"/>
    <n v="2"/>
    <n v="1"/>
    <s v="no"/>
    <s v="yes"/>
    <s v="no"/>
    <s v="no"/>
    <s v="yes"/>
    <s v="yes"/>
    <s v="yes"/>
    <s v="no"/>
    <n v="3"/>
    <n v="3"/>
    <n v="2"/>
    <n v="1"/>
    <n v="1"/>
    <n v="3"/>
    <n v="2"/>
    <n v="11"/>
    <n v="11"/>
    <x v="0"/>
    <s v="Pass"/>
    <n v="0"/>
    <n v="60"/>
    <n v="0"/>
    <n v="40"/>
    <n v="0"/>
    <n v="32"/>
    <x v="1"/>
  </r>
  <r>
    <s v="GP"/>
    <s v="F"/>
    <n v="15"/>
    <s v="U"/>
    <s v="GT3"/>
    <s v="T"/>
    <n v="1"/>
    <n v="2"/>
    <s v="at_home"/>
    <s v="other"/>
    <s v="course"/>
    <s v="mother"/>
    <n v="1"/>
    <n v="2"/>
    <n v="0"/>
    <s v="no"/>
    <s v="yes"/>
    <s v="no"/>
    <s v="no"/>
    <s v="no"/>
    <s v="yes"/>
    <s v="yes"/>
    <s v="no"/>
    <n v="4"/>
    <n v="3"/>
    <n v="2"/>
    <n v="1"/>
    <n v="1"/>
    <n v="5"/>
    <n v="6"/>
    <n v="13"/>
    <n v="12"/>
    <x v="3"/>
    <s v="Pass"/>
    <n v="0"/>
    <n v="0"/>
    <n v="0"/>
    <n v="40"/>
    <n v="0"/>
    <n v="8"/>
    <x v="0"/>
  </r>
  <r>
    <s v="GP"/>
    <s v="F"/>
    <n v="15"/>
    <s v="U"/>
    <s v="GT3"/>
    <s v="T"/>
    <n v="1"/>
    <n v="2"/>
    <s v="at_home"/>
    <s v="services"/>
    <s v="course"/>
    <s v="father"/>
    <n v="1"/>
    <n v="2"/>
    <n v="0"/>
    <s v="no"/>
    <s v="no"/>
    <s v="no"/>
    <s v="no"/>
    <s v="no"/>
    <s v="yes"/>
    <s v="no"/>
    <s v="yes"/>
    <n v="2"/>
    <n v="3"/>
    <n v="4"/>
    <n v="2"/>
    <n v="4"/>
    <n v="1"/>
    <n v="6"/>
    <n v="11"/>
    <n v="11"/>
    <x v="0"/>
    <s v="Pass"/>
    <n v="0"/>
    <n v="0"/>
    <n v="0"/>
    <n v="40"/>
    <n v="0"/>
    <n v="8"/>
    <x v="0"/>
  </r>
  <r>
    <s v="GP"/>
    <s v="M"/>
    <n v="16"/>
    <s v="U"/>
    <s v="GT3"/>
    <s v="T"/>
    <n v="4"/>
    <n v="4"/>
    <s v="teacher"/>
    <s v="teacher"/>
    <s v="course"/>
    <s v="mother"/>
    <n v="1"/>
    <n v="1"/>
    <n v="0"/>
    <s v="no"/>
    <s v="yes"/>
    <s v="no"/>
    <s v="no"/>
    <s v="yes"/>
    <s v="no"/>
    <s v="yes"/>
    <s v="yes"/>
    <n v="3"/>
    <n v="3"/>
    <n v="2"/>
    <n v="2"/>
    <n v="1"/>
    <n v="5"/>
    <n v="16"/>
    <n v="9"/>
    <n v="9"/>
    <x v="10"/>
    <s v="Fail"/>
    <n v="1"/>
    <n v="0"/>
    <n v="80"/>
    <n v="70"/>
    <n v="50"/>
    <n v="43"/>
    <x v="1"/>
  </r>
  <r>
    <s v="GP"/>
    <s v="M"/>
    <n v="15"/>
    <s v="U"/>
    <s v="LE3"/>
    <s v="A"/>
    <n v="2"/>
    <n v="1"/>
    <s v="services"/>
    <s v="other"/>
    <s v="course"/>
    <s v="mother"/>
    <n v="4"/>
    <n v="1"/>
    <n v="0"/>
    <s v="no"/>
    <s v="no"/>
    <s v="no"/>
    <s v="no"/>
    <s v="yes"/>
    <s v="yes"/>
    <s v="yes"/>
    <s v="no"/>
    <n v="4"/>
    <n v="5"/>
    <n v="5"/>
    <n v="2"/>
    <n v="5"/>
    <n v="5"/>
    <n v="0"/>
    <n v="12"/>
    <n v="11"/>
    <x v="0"/>
    <s v="Pass"/>
    <n v="0"/>
    <n v="0"/>
    <n v="0"/>
    <n v="70"/>
    <n v="0"/>
    <n v="14"/>
    <x v="0"/>
  </r>
  <r>
    <s v="GP"/>
    <s v="M"/>
    <n v="18"/>
    <s v="U"/>
    <s v="LE3"/>
    <s v="T"/>
    <n v="1"/>
    <n v="1"/>
    <s v="other"/>
    <s v="other"/>
    <s v="course"/>
    <s v="mother"/>
    <n v="1"/>
    <n v="1"/>
    <n v="2"/>
    <s v="no"/>
    <s v="no"/>
    <s v="no"/>
    <s v="no"/>
    <s v="yes"/>
    <s v="no"/>
    <s v="yes"/>
    <s v="yes"/>
    <n v="2"/>
    <n v="3"/>
    <n v="5"/>
    <n v="2"/>
    <n v="5"/>
    <n v="4"/>
    <n v="0"/>
    <n v="11"/>
    <n v="9"/>
    <x v="13"/>
    <s v="Fail"/>
    <n v="1"/>
    <n v="100"/>
    <n v="0"/>
    <n v="70"/>
    <n v="50"/>
    <n v="59"/>
    <x v="1"/>
  </r>
  <r>
    <s v="GP"/>
    <s v="M"/>
    <n v="16"/>
    <s v="U"/>
    <s v="LE3"/>
    <s v="T"/>
    <n v="2"/>
    <n v="1"/>
    <s v="at_home"/>
    <s v="other"/>
    <s v="course"/>
    <s v="mother"/>
    <n v="1"/>
    <n v="1"/>
    <n v="1"/>
    <s v="no"/>
    <s v="no"/>
    <s v="no"/>
    <s v="yes"/>
    <s v="yes"/>
    <s v="yes"/>
    <s v="no"/>
    <s v="yes"/>
    <n v="4"/>
    <n v="4"/>
    <n v="4"/>
    <n v="3"/>
    <n v="5"/>
    <n v="5"/>
    <n v="6"/>
    <n v="9"/>
    <n v="10"/>
    <x v="7"/>
    <s v="Pass"/>
    <n v="0"/>
    <n v="60"/>
    <n v="0"/>
    <n v="70"/>
    <n v="0"/>
    <n v="38"/>
    <x v="1"/>
  </r>
  <r>
    <s v="GP"/>
    <s v="F"/>
    <n v="15"/>
    <s v="R"/>
    <s v="GT3"/>
    <s v="T"/>
    <n v="3"/>
    <n v="3"/>
    <s v="services"/>
    <s v="services"/>
    <s v="reputation"/>
    <s v="other"/>
    <n v="2"/>
    <n v="3"/>
    <n v="0"/>
    <s v="no"/>
    <s v="yes"/>
    <s v="yes"/>
    <s v="yes"/>
    <s v="yes"/>
    <s v="yes"/>
    <s v="yes"/>
    <s v="yes"/>
    <n v="4"/>
    <n v="2"/>
    <n v="1"/>
    <n v="2"/>
    <n v="3"/>
    <n v="3"/>
    <n v="2"/>
    <n v="13"/>
    <n v="13"/>
    <x v="3"/>
    <s v="Pass"/>
    <n v="0"/>
    <n v="0"/>
    <n v="0"/>
    <n v="0"/>
    <n v="0"/>
    <n v="0"/>
    <x v="0"/>
  </r>
  <r>
    <s v="GP"/>
    <s v="M"/>
    <n v="19"/>
    <s v="U"/>
    <s v="GT3"/>
    <s v="T"/>
    <n v="3"/>
    <n v="2"/>
    <s v="services"/>
    <s v="at_home"/>
    <s v="home"/>
    <s v="mother"/>
    <n v="1"/>
    <n v="1"/>
    <n v="0"/>
    <s v="no"/>
    <s v="yes"/>
    <s v="no"/>
    <s v="no"/>
    <s v="yes"/>
    <s v="no"/>
    <s v="yes"/>
    <s v="yes"/>
    <n v="4"/>
    <n v="5"/>
    <n v="4"/>
    <n v="1"/>
    <n v="1"/>
    <n v="4"/>
    <n v="6"/>
    <n v="11"/>
    <n v="9"/>
    <x v="0"/>
    <s v="Pass"/>
    <n v="0"/>
    <n v="0"/>
    <n v="0"/>
    <n v="70"/>
    <n v="0"/>
    <n v="14"/>
    <x v="0"/>
  </r>
  <r>
    <s v="GP"/>
    <s v="F"/>
    <n v="17"/>
    <s v="U"/>
    <s v="GT3"/>
    <s v="T"/>
    <n v="4"/>
    <n v="4"/>
    <s v="other"/>
    <s v="teacher"/>
    <s v="course"/>
    <s v="mother"/>
    <n v="1"/>
    <n v="1"/>
    <n v="0"/>
    <s v="yes"/>
    <s v="yes"/>
    <s v="no"/>
    <s v="no"/>
    <s v="yes"/>
    <s v="yes"/>
    <s v="no"/>
    <s v="yes"/>
    <n v="4"/>
    <n v="2"/>
    <n v="1"/>
    <n v="1"/>
    <n v="1"/>
    <n v="4"/>
    <n v="0"/>
    <n v="13"/>
    <n v="13"/>
    <x v="3"/>
    <s v="Pass"/>
    <n v="0"/>
    <n v="0"/>
    <n v="0"/>
    <n v="70"/>
    <n v="0"/>
    <n v="14"/>
    <x v="0"/>
  </r>
  <r>
    <s v="GP"/>
    <s v="M"/>
    <n v="15"/>
    <s v="R"/>
    <s v="GT3"/>
    <s v="T"/>
    <n v="2"/>
    <n v="3"/>
    <s v="at_home"/>
    <s v="services"/>
    <s v="course"/>
    <s v="mother"/>
    <n v="1"/>
    <n v="2"/>
    <n v="0"/>
    <s v="yes"/>
    <s v="no"/>
    <s v="yes"/>
    <s v="yes"/>
    <s v="yes"/>
    <s v="yes"/>
    <s v="no"/>
    <s v="no"/>
    <n v="4"/>
    <n v="4"/>
    <n v="4"/>
    <n v="1"/>
    <n v="1"/>
    <n v="1"/>
    <n v="0"/>
    <n v="7"/>
    <n v="8"/>
    <x v="10"/>
    <s v="Fail"/>
    <n v="0"/>
    <n v="0"/>
    <n v="0"/>
    <n v="40"/>
    <n v="0"/>
    <n v="8"/>
    <x v="0"/>
  </r>
  <r>
    <s v="GP"/>
    <s v="M"/>
    <n v="17"/>
    <s v="R"/>
    <s v="LE3"/>
    <s v="T"/>
    <n v="1"/>
    <n v="2"/>
    <s v="other"/>
    <s v="other"/>
    <s v="reputation"/>
    <s v="mother"/>
    <n v="1"/>
    <n v="1"/>
    <n v="3"/>
    <s v="no"/>
    <s v="no"/>
    <s v="no"/>
    <s v="no"/>
    <s v="yes"/>
    <s v="yes"/>
    <s v="no"/>
    <s v="no"/>
    <n v="2"/>
    <n v="2"/>
    <n v="2"/>
    <n v="3"/>
    <n v="3"/>
    <n v="5"/>
    <n v="14"/>
    <n v="9"/>
    <n v="8"/>
    <x v="7"/>
    <s v="Pass"/>
    <n v="0"/>
    <n v="100"/>
    <n v="50"/>
    <n v="70"/>
    <n v="0"/>
    <n v="69"/>
    <x v="2"/>
  </r>
  <r>
    <s v="GP"/>
    <s v="F"/>
    <n v="18"/>
    <s v="R"/>
    <s v="GT3"/>
    <s v="T"/>
    <n v="1"/>
    <n v="1"/>
    <s v="at_home"/>
    <s v="other"/>
    <s v="course"/>
    <s v="mother"/>
    <n v="3"/>
    <n v="1"/>
    <n v="3"/>
    <s v="no"/>
    <s v="yes"/>
    <s v="no"/>
    <s v="yes"/>
    <s v="no"/>
    <s v="yes"/>
    <s v="no"/>
    <s v="no"/>
    <n v="5"/>
    <n v="2"/>
    <n v="5"/>
    <n v="1"/>
    <n v="5"/>
    <n v="4"/>
    <n v="6"/>
    <n v="11"/>
    <n v="10"/>
    <x v="0"/>
    <s v="Pass"/>
    <n v="0"/>
    <n v="100"/>
    <n v="0"/>
    <n v="70"/>
    <n v="0"/>
    <n v="54"/>
    <x v="1"/>
  </r>
  <r>
    <s v="GP"/>
    <s v="M"/>
    <n v="16"/>
    <s v="R"/>
    <s v="GT3"/>
    <s v="T"/>
    <n v="2"/>
    <n v="2"/>
    <s v="at_home"/>
    <s v="other"/>
    <s v="course"/>
    <s v="mother"/>
    <n v="3"/>
    <n v="1"/>
    <n v="0"/>
    <s v="no"/>
    <s v="no"/>
    <s v="no"/>
    <s v="no"/>
    <s v="no"/>
    <s v="yes"/>
    <s v="no"/>
    <s v="no"/>
    <n v="4"/>
    <n v="2"/>
    <n v="2"/>
    <n v="1"/>
    <n v="2"/>
    <n v="3"/>
    <n v="4"/>
    <n v="12"/>
    <n v="10"/>
    <x v="0"/>
    <s v="Pass"/>
    <n v="0"/>
    <n v="0"/>
    <n v="0"/>
    <n v="70"/>
    <n v="0"/>
    <n v="14"/>
    <x v="0"/>
  </r>
  <r>
    <s v="GP"/>
    <s v="M"/>
    <n v="16"/>
    <s v="U"/>
    <s v="GT3"/>
    <s v="T"/>
    <n v="3"/>
    <n v="3"/>
    <s v="other"/>
    <s v="services"/>
    <s v="course"/>
    <s v="father"/>
    <n v="1"/>
    <n v="2"/>
    <n v="1"/>
    <s v="no"/>
    <s v="yes"/>
    <s v="no"/>
    <s v="no"/>
    <s v="yes"/>
    <s v="yes"/>
    <s v="yes"/>
    <s v="yes"/>
    <n v="4"/>
    <n v="5"/>
    <n v="5"/>
    <n v="4"/>
    <n v="4"/>
    <n v="5"/>
    <n v="0"/>
    <n v="10"/>
    <n v="10"/>
    <x v="14"/>
    <s v="Fail"/>
    <n v="1"/>
    <n v="60"/>
    <n v="0"/>
    <n v="40"/>
    <n v="50"/>
    <n v="37"/>
    <x v="1"/>
  </r>
  <r>
    <s v="GP"/>
    <s v="M"/>
    <n v="16"/>
    <s v="U"/>
    <s v="LE3"/>
    <s v="T"/>
    <n v="1"/>
    <n v="2"/>
    <s v="health"/>
    <s v="services"/>
    <s v="course"/>
    <s v="mother"/>
    <n v="2"/>
    <n v="1"/>
    <n v="2"/>
    <s v="no"/>
    <s v="no"/>
    <s v="no"/>
    <s v="no"/>
    <s v="no"/>
    <s v="yes"/>
    <s v="yes"/>
    <s v="no"/>
    <n v="4"/>
    <n v="4"/>
    <n v="5"/>
    <n v="3"/>
    <n v="5"/>
    <n v="5"/>
    <n v="0"/>
    <n v="9"/>
    <n v="8"/>
    <x v="7"/>
    <s v="Pass"/>
    <n v="0"/>
    <n v="100"/>
    <n v="0"/>
    <n v="70"/>
    <n v="0"/>
    <n v="54"/>
    <x v="1"/>
  </r>
  <r>
    <s v="GP"/>
    <s v="M"/>
    <n v="17"/>
    <s v="R"/>
    <s v="LE3"/>
    <s v="T"/>
    <n v="2"/>
    <n v="1"/>
    <s v="at_home"/>
    <s v="other"/>
    <s v="course"/>
    <s v="mother"/>
    <n v="2"/>
    <n v="1"/>
    <n v="1"/>
    <s v="no"/>
    <s v="no"/>
    <s v="yes"/>
    <s v="yes"/>
    <s v="yes"/>
    <s v="no"/>
    <s v="yes"/>
    <s v="yes"/>
    <n v="3"/>
    <n v="3"/>
    <n v="2"/>
    <n v="2"/>
    <n v="2"/>
    <n v="5"/>
    <n v="8"/>
    <n v="8"/>
    <n v="8"/>
    <x v="9"/>
    <s v="Fail"/>
    <n v="0"/>
    <n v="60"/>
    <n v="0"/>
    <n v="70"/>
    <n v="0"/>
    <n v="38"/>
    <x v="1"/>
  </r>
  <r>
    <s v="GP"/>
    <s v="M"/>
    <n v="17"/>
    <s v="R"/>
    <s v="GT3"/>
    <s v="T"/>
    <n v="3"/>
    <n v="2"/>
    <s v="other"/>
    <s v="other"/>
    <s v="course"/>
    <s v="mother"/>
    <n v="2"/>
    <n v="2"/>
    <n v="2"/>
    <s v="yes"/>
    <s v="yes"/>
    <s v="no"/>
    <s v="no"/>
    <s v="yes"/>
    <s v="yes"/>
    <s v="yes"/>
    <s v="yes"/>
    <n v="4"/>
    <n v="4"/>
    <n v="4"/>
    <n v="1"/>
    <n v="4"/>
    <n v="3"/>
    <n v="4"/>
    <n v="7"/>
    <n v="6"/>
    <x v="10"/>
    <s v="Fail"/>
    <n v="0"/>
    <n v="100"/>
    <n v="0"/>
    <n v="40"/>
    <n v="0"/>
    <n v="48"/>
    <x v="1"/>
  </r>
  <r>
    <s v="GP"/>
    <s v="M"/>
    <n v="15"/>
    <s v="U"/>
    <s v="LE3"/>
    <s v="T"/>
    <n v="1"/>
    <n v="2"/>
    <s v="other"/>
    <s v="other"/>
    <s v="course"/>
    <s v="mother"/>
    <n v="2"/>
    <n v="1"/>
    <n v="0"/>
    <s v="no"/>
    <s v="no"/>
    <s v="no"/>
    <s v="yes"/>
    <s v="yes"/>
    <s v="yes"/>
    <s v="no"/>
    <s v="no"/>
    <n v="4"/>
    <n v="4"/>
    <n v="4"/>
    <n v="2"/>
    <n v="4"/>
    <n v="5"/>
    <n v="2"/>
    <n v="8"/>
    <n v="9"/>
    <x v="7"/>
    <s v="Pass"/>
    <n v="0"/>
    <n v="0"/>
    <n v="0"/>
    <n v="70"/>
    <n v="0"/>
    <n v="14"/>
    <x v="0"/>
  </r>
  <r>
    <s v="GP"/>
    <s v="M"/>
    <n v="16"/>
    <s v="U"/>
    <s v="GT3"/>
    <s v="T"/>
    <n v="1"/>
    <n v="3"/>
    <s v="at_home"/>
    <s v="services"/>
    <s v="course"/>
    <s v="father"/>
    <n v="1"/>
    <n v="1"/>
    <n v="1"/>
    <s v="no"/>
    <s v="no"/>
    <s v="no"/>
    <s v="no"/>
    <s v="yes"/>
    <s v="no"/>
    <s v="yes"/>
    <s v="no"/>
    <n v="5"/>
    <n v="3"/>
    <n v="3"/>
    <n v="1"/>
    <n v="4"/>
    <n v="2"/>
    <n v="2"/>
    <n v="9"/>
    <n v="8"/>
    <x v="10"/>
    <s v="Fail"/>
    <n v="0"/>
    <n v="60"/>
    <n v="0"/>
    <n v="70"/>
    <n v="0"/>
    <n v="38"/>
    <x v="1"/>
  </r>
  <r>
    <s v="GP"/>
    <s v="M"/>
    <n v="17"/>
    <s v="R"/>
    <s v="LE3"/>
    <s v="T"/>
    <n v="1"/>
    <n v="1"/>
    <s v="other"/>
    <s v="services"/>
    <s v="course"/>
    <s v="mother"/>
    <n v="4"/>
    <n v="2"/>
    <n v="0"/>
    <s v="no"/>
    <s v="no"/>
    <s v="no"/>
    <s v="yes"/>
    <s v="yes"/>
    <s v="no"/>
    <s v="no"/>
    <s v="yes"/>
    <n v="5"/>
    <n v="3"/>
    <n v="5"/>
    <n v="1"/>
    <n v="5"/>
    <n v="5"/>
    <n v="0"/>
    <n v="8"/>
    <n v="8"/>
    <x v="10"/>
    <s v="Fail"/>
    <n v="0"/>
    <n v="0"/>
    <n v="0"/>
    <n v="40"/>
    <n v="0"/>
    <n v="8"/>
    <x v="0"/>
  </r>
  <r>
    <s v="GP"/>
    <s v="M"/>
    <n v="17"/>
    <s v="U"/>
    <s v="GT3"/>
    <s v="T"/>
    <n v="3"/>
    <n v="2"/>
    <s v="services"/>
    <s v="services"/>
    <s v="course"/>
    <s v="mother"/>
    <n v="2"/>
    <n v="1"/>
    <n v="3"/>
    <s v="no"/>
    <s v="yes"/>
    <s v="no"/>
    <s v="yes"/>
    <s v="no"/>
    <s v="no"/>
    <s v="no"/>
    <s v="no"/>
    <n v="4"/>
    <n v="5"/>
    <n v="2"/>
    <n v="1"/>
    <n v="1"/>
    <n v="2"/>
    <n v="10"/>
    <n v="8"/>
    <n v="7"/>
    <x v="10"/>
    <s v="Fail"/>
    <n v="0"/>
    <n v="100"/>
    <n v="0"/>
    <n v="70"/>
    <n v="0"/>
    <n v="54"/>
    <x v="1"/>
  </r>
  <r>
    <s v="GP"/>
    <s v="M"/>
    <n v="16"/>
    <s v="U"/>
    <s v="GT3"/>
    <s v="T"/>
    <n v="2"/>
    <n v="2"/>
    <s v="other"/>
    <s v="other"/>
    <s v="course"/>
    <s v="father"/>
    <n v="1"/>
    <n v="2"/>
    <n v="0"/>
    <s v="no"/>
    <s v="no"/>
    <s v="no"/>
    <s v="no"/>
    <s v="yes"/>
    <s v="no"/>
    <s v="yes"/>
    <s v="no"/>
    <n v="4"/>
    <n v="3"/>
    <n v="5"/>
    <n v="2"/>
    <n v="4"/>
    <n v="4"/>
    <n v="0"/>
    <n v="9"/>
    <n v="10"/>
    <x v="0"/>
    <s v="Pass"/>
    <n v="0"/>
    <n v="0"/>
    <n v="0"/>
    <n v="40"/>
    <n v="0"/>
    <n v="8"/>
    <x v="0"/>
  </r>
  <r>
    <s v="GP"/>
    <s v="F"/>
    <n v="16"/>
    <s v="U"/>
    <s v="GT3"/>
    <s v="T"/>
    <n v="4"/>
    <n v="2"/>
    <s v="health"/>
    <s v="services"/>
    <s v="home"/>
    <s v="father"/>
    <n v="1"/>
    <n v="2"/>
    <n v="0"/>
    <s v="no"/>
    <s v="no"/>
    <s v="no"/>
    <s v="no"/>
    <s v="yes"/>
    <s v="yes"/>
    <s v="yes"/>
    <s v="yes"/>
    <n v="4"/>
    <n v="2"/>
    <n v="3"/>
    <n v="1"/>
    <n v="1"/>
    <n v="3"/>
    <n v="0"/>
    <n v="17"/>
    <n v="17"/>
    <x v="11"/>
    <s v="Pass"/>
    <n v="0"/>
    <n v="0"/>
    <n v="0"/>
    <n v="40"/>
    <n v="0"/>
    <n v="8"/>
    <x v="0"/>
  </r>
  <r>
    <s v="GP"/>
    <s v="F"/>
    <n v="16"/>
    <s v="U"/>
    <s v="GT3"/>
    <s v="T"/>
    <n v="2"/>
    <n v="2"/>
    <s v="other"/>
    <s v="other"/>
    <s v="home"/>
    <s v="mother"/>
    <n v="1"/>
    <n v="2"/>
    <n v="0"/>
    <s v="no"/>
    <s v="yes"/>
    <s v="no"/>
    <s v="no"/>
    <s v="no"/>
    <s v="yes"/>
    <s v="yes"/>
    <s v="no"/>
    <n v="5"/>
    <n v="1"/>
    <n v="5"/>
    <n v="1"/>
    <n v="1"/>
    <n v="4"/>
    <n v="0"/>
    <n v="12"/>
    <n v="12"/>
    <x v="3"/>
    <s v="Pass"/>
    <n v="0"/>
    <n v="0"/>
    <n v="0"/>
    <n v="40"/>
    <n v="0"/>
    <n v="8"/>
    <x v="0"/>
  </r>
  <r>
    <s v="GP"/>
    <s v="F"/>
    <n v="16"/>
    <s v="U"/>
    <s v="GT3"/>
    <s v="T"/>
    <n v="4"/>
    <n v="4"/>
    <s v="health"/>
    <s v="health"/>
    <s v="reputation"/>
    <s v="mother"/>
    <n v="1"/>
    <n v="2"/>
    <n v="0"/>
    <s v="no"/>
    <s v="yes"/>
    <s v="no"/>
    <s v="no"/>
    <s v="yes"/>
    <s v="yes"/>
    <s v="yes"/>
    <s v="yes"/>
    <n v="4"/>
    <n v="4"/>
    <n v="2"/>
    <n v="1"/>
    <n v="1"/>
    <n v="3"/>
    <n v="0"/>
    <n v="16"/>
    <n v="16"/>
    <x v="4"/>
    <s v="Pass"/>
    <n v="0"/>
    <n v="0"/>
    <n v="0"/>
    <n v="40"/>
    <n v="0"/>
    <n v="8"/>
    <x v="0"/>
  </r>
  <r>
    <s v="GP"/>
    <s v="M"/>
    <n v="16"/>
    <s v="U"/>
    <s v="GT3"/>
    <s v="T"/>
    <n v="3"/>
    <n v="4"/>
    <s v="other"/>
    <s v="other"/>
    <s v="course"/>
    <s v="father"/>
    <n v="3"/>
    <n v="1"/>
    <n v="1"/>
    <s v="no"/>
    <s v="yes"/>
    <s v="no"/>
    <s v="yes"/>
    <s v="no"/>
    <s v="yes"/>
    <s v="yes"/>
    <s v="no"/>
    <n v="3"/>
    <n v="4"/>
    <n v="5"/>
    <n v="2"/>
    <n v="4"/>
    <n v="2"/>
    <n v="4"/>
    <n v="9"/>
    <n v="9"/>
    <x v="7"/>
    <s v="Pass"/>
    <n v="0"/>
    <n v="60"/>
    <n v="0"/>
    <n v="70"/>
    <n v="0"/>
    <n v="38"/>
    <x v="1"/>
  </r>
  <r>
    <s v="GP"/>
    <s v="M"/>
    <n v="16"/>
    <s v="U"/>
    <s v="GT3"/>
    <s v="T"/>
    <n v="1"/>
    <n v="0"/>
    <s v="other"/>
    <s v="other"/>
    <s v="reputation"/>
    <s v="mother"/>
    <n v="2"/>
    <n v="2"/>
    <n v="0"/>
    <s v="no"/>
    <s v="yes"/>
    <s v="no"/>
    <s v="yes"/>
    <s v="yes"/>
    <s v="yes"/>
    <s v="yes"/>
    <s v="yes"/>
    <n v="4"/>
    <n v="3"/>
    <n v="2"/>
    <n v="1"/>
    <n v="1"/>
    <n v="3"/>
    <n v="0"/>
    <n v="16"/>
    <n v="17"/>
    <x v="11"/>
    <s v="Pass"/>
    <n v="0"/>
    <n v="0"/>
    <n v="0"/>
    <n v="40"/>
    <n v="0"/>
    <n v="8"/>
    <x v="0"/>
  </r>
  <r>
    <s v="GP"/>
    <s v="M"/>
    <n v="17"/>
    <s v="U"/>
    <s v="LE3"/>
    <s v="T"/>
    <n v="4"/>
    <n v="4"/>
    <s v="teacher"/>
    <s v="other"/>
    <s v="reputation"/>
    <s v="mother"/>
    <n v="1"/>
    <n v="2"/>
    <n v="0"/>
    <s v="no"/>
    <s v="yes"/>
    <s v="no"/>
    <s v="yes"/>
    <s v="yes"/>
    <s v="yes"/>
    <s v="yes"/>
    <s v="no"/>
    <n v="4"/>
    <n v="4"/>
    <n v="4"/>
    <n v="1"/>
    <n v="3"/>
    <n v="5"/>
    <n v="0"/>
    <n v="11"/>
    <n v="9"/>
    <x v="7"/>
    <s v="Pass"/>
    <n v="0"/>
    <n v="0"/>
    <n v="0"/>
    <n v="40"/>
    <n v="0"/>
    <n v="8"/>
    <x v="0"/>
  </r>
  <r>
    <s v="GP"/>
    <s v="F"/>
    <n v="16"/>
    <s v="U"/>
    <s v="GT3"/>
    <s v="T"/>
    <n v="1"/>
    <n v="3"/>
    <s v="at_home"/>
    <s v="services"/>
    <s v="home"/>
    <s v="mother"/>
    <n v="1"/>
    <n v="2"/>
    <n v="0"/>
    <s v="no"/>
    <s v="no"/>
    <s v="no"/>
    <s v="yes"/>
    <s v="no"/>
    <s v="yes"/>
    <s v="yes"/>
    <s v="yes"/>
    <n v="4"/>
    <n v="3"/>
    <n v="5"/>
    <n v="1"/>
    <n v="1"/>
    <n v="3"/>
    <n v="0"/>
    <n v="14"/>
    <n v="13"/>
    <x v="3"/>
    <s v="Pass"/>
    <n v="0"/>
    <n v="0"/>
    <n v="0"/>
    <n v="40"/>
    <n v="0"/>
    <n v="8"/>
    <x v="0"/>
  </r>
  <r>
    <s v="GP"/>
    <s v="F"/>
    <n v="16"/>
    <s v="U"/>
    <s v="LE3"/>
    <s v="T"/>
    <n v="3"/>
    <n v="3"/>
    <s v="other"/>
    <s v="other"/>
    <s v="reputation"/>
    <s v="mother"/>
    <n v="2"/>
    <n v="2"/>
    <n v="0"/>
    <s v="no"/>
    <s v="yes"/>
    <s v="no"/>
    <s v="yes"/>
    <s v="yes"/>
    <s v="yes"/>
    <s v="yes"/>
    <s v="no"/>
    <n v="4"/>
    <n v="4"/>
    <n v="5"/>
    <n v="1"/>
    <n v="1"/>
    <n v="4"/>
    <n v="0"/>
    <n v="14"/>
    <n v="14"/>
    <x v="5"/>
    <s v="Pass"/>
    <n v="0"/>
    <n v="0"/>
    <n v="0"/>
    <n v="40"/>
    <n v="0"/>
    <n v="8"/>
    <x v="0"/>
  </r>
  <r>
    <s v="GP"/>
    <s v="M"/>
    <n v="17"/>
    <s v="U"/>
    <s v="LE3"/>
    <s v="T"/>
    <n v="4"/>
    <n v="3"/>
    <s v="teacher"/>
    <s v="other"/>
    <s v="course"/>
    <s v="mother"/>
    <n v="2"/>
    <n v="2"/>
    <n v="0"/>
    <s v="no"/>
    <s v="no"/>
    <s v="no"/>
    <s v="yes"/>
    <s v="yes"/>
    <s v="yes"/>
    <s v="yes"/>
    <s v="no"/>
    <n v="4"/>
    <n v="4"/>
    <n v="4"/>
    <n v="4"/>
    <n v="4"/>
    <n v="4"/>
    <n v="0"/>
    <n v="10"/>
    <n v="11"/>
    <x v="0"/>
    <s v="Pass"/>
    <n v="0"/>
    <n v="0"/>
    <n v="0"/>
    <n v="40"/>
    <n v="0"/>
    <n v="8"/>
    <x v="0"/>
  </r>
  <r>
    <s v="GP"/>
    <s v="F"/>
    <n v="16"/>
    <s v="U"/>
    <s v="GT3"/>
    <s v="T"/>
    <n v="2"/>
    <n v="2"/>
    <s v="services"/>
    <s v="other"/>
    <s v="reputation"/>
    <s v="mother"/>
    <n v="2"/>
    <n v="2"/>
    <n v="0"/>
    <s v="no"/>
    <s v="no"/>
    <s v="no"/>
    <s v="yes"/>
    <s v="no"/>
    <s v="yes"/>
    <s v="yes"/>
    <s v="no"/>
    <n v="3"/>
    <n v="4"/>
    <n v="4"/>
    <n v="1"/>
    <n v="4"/>
    <n v="5"/>
    <n v="0"/>
    <n v="13"/>
    <n v="12"/>
    <x v="2"/>
    <s v="Pass"/>
    <n v="0"/>
    <n v="0"/>
    <n v="0"/>
    <n v="40"/>
    <n v="0"/>
    <n v="8"/>
    <x v="0"/>
  </r>
  <r>
    <s v="GP"/>
    <s v="M"/>
    <n v="17"/>
    <s v="U"/>
    <s v="GT3"/>
    <s v="T"/>
    <n v="3"/>
    <n v="3"/>
    <s v="other"/>
    <s v="other"/>
    <s v="reputation"/>
    <s v="father"/>
    <n v="1"/>
    <n v="2"/>
    <n v="0"/>
    <s v="no"/>
    <s v="no"/>
    <s v="no"/>
    <s v="yes"/>
    <s v="no"/>
    <s v="yes"/>
    <s v="yes"/>
    <s v="no"/>
    <n v="4"/>
    <n v="3"/>
    <n v="4"/>
    <n v="1"/>
    <n v="4"/>
    <n v="4"/>
    <n v="4"/>
    <n v="11"/>
    <n v="9"/>
    <x v="7"/>
    <s v="Pass"/>
    <n v="0"/>
    <n v="0"/>
    <n v="0"/>
    <n v="40"/>
    <n v="0"/>
    <n v="8"/>
    <x v="0"/>
  </r>
  <r>
    <s v="GP"/>
    <s v="M"/>
    <n v="16"/>
    <s v="R"/>
    <s v="GT3"/>
    <s v="T"/>
    <n v="4"/>
    <n v="2"/>
    <s v="teacher"/>
    <s v="services"/>
    <s v="other"/>
    <s v="mother"/>
    <n v="1"/>
    <n v="1"/>
    <n v="0"/>
    <s v="no"/>
    <s v="yes"/>
    <s v="no"/>
    <s v="yes"/>
    <s v="yes"/>
    <s v="yes"/>
    <s v="yes"/>
    <s v="yes"/>
    <n v="4"/>
    <n v="3"/>
    <n v="3"/>
    <n v="3"/>
    <n v="4"/>
    <n v="3"/>
    <n v="8"/>
    <n v="10"/>
    <n v="9"/>
    <x v="0"/>
    <s v="Pass"/>
    <n v="0"/>
    <n v="0"/>
    <n v="0"/>
    <n v="70"/>
    <n v="0"/>
    <n v="14"/>
    <x v="0"/>
  </r>
  <r>
    <s v="GP"/>
    <s v="M"/>
    <n v="17"/>
    <s v="U"/>
    <s v="GT3"/>
    <s v="T"/>
    <n v="4"/>
    <n v="3"/>
    <s v="other"/>
    <s v="other"/>
    <s v="course"/>
    <s v="mother"/>
    <n v="1"/>
    <n v="2"/>
    <n v="0"/>
    <s v="no"/>
    <s v="yes"/>
    <s v="yes"/>
    <s v="yes"/>
    <s v="yes"/>
    <s v="yes"/>
    <s v="yes"/>
    <s v="yes"/>
    <n v="5"/>
    <n v="2"/>
    <n v="3"/>
    <n v="1"/>
    <n v="1"/>
    <n v="2"/>
    <n v="4"/>
    <n v="11"/>
    <n v="11"/>
    <x v="3"/>
    <s v="Pass"/>
    <n v="0"/>
    <n v="0"/>
    <n v="0"/>
    <n v="40"/>
    <n v="0"/>
    <n v="8"/>
    <x v="0"/>
  </r>
  <r>
    <s v="GP"/>
    <s v="M"/>
    <n v="16"/>
    <s v="U"/>
    <s v="GT3"/>
    <s v="T"/>
    <n v="4"/>
    <n v="3"/>
    <s v="teacher"/>
    <s v="other"/>
    <s v="home"/>
    <s v="mother"/>
    <n v="1"/>
    <n v="2"/>
    <n v="0"/>
    <s v="no"/>
    <s v="yes"/>
    <s v="yes"/>
    <s v="yes"/>
    <s v="yes"/>
    <s v="yes"/>
    <s v="yes"/>
    <s v="no"/>
    <n v="3"/>
    <n v="4"/>
    <n v="3"/>
    <n v="2"/>
    <n v="3"/>
    <n v="3"/>
    <n v="4"/>
    <n v="11"/>
    <n v="10"/>
    <x v="0"/>
    <s v="Pass"/>
    <n v="0"/>
    <n v="0"/>
    <n v="0"/>
    <n v="40"/>
    <n v="0"/>
    <n v="8"/>
    <x v="0"/>
  </r>
  <r>
    <s v="GP"/>
    <s v="M"/>
    <n v="16"/>
    <s v="U"/>
    <s v="GT3"/>
    <s v="T"/>
    <n v="3"/>
    <n v="3"/>
    <s v="services"/>
    <s v="other"/>
    <s v="home"/>
    <s v="mother"/>
    <n v="1"/>
    <n v="2"/>
    <n v="0"/>
    <s v="no"/>
    <s v="no"/>
    <s v="no"/>
    <s v="yes"/>
    <s v="yes"/>
    <s v="yes"/>
    <s v="yes"/>
    <s v="yes"/>
    <n v="4"/>
    <n v="2"/>
    <n v="3"/>
    <n v="1"/>
    <n v="2"/>
    <n v="3"/>
    <n v="0"/>
    <n v="11"/>
    <n v="12"/>
    <x v="3"/>
    <s v="Pass"/>
    <n v="0"/>
    <n v="0"/>
    <n v="0"/>
    <n v="40"/>
    <n v="0"/>
    <n v="8"/>
    <x v="0"/>
  </r>
  <r>
    <s v="GP"/>
    <s v="F"/>
    <n v="17"/>
    <s v="U"/>
    <s v="GT3"/>
    <s v="T"/>
    <n v="2"/>
    <n v="4"/>
    <s v="services"/>
    <s v="services"/>
    <s v="reputation"/>
    <s v="father"/>
    <n v="1"/>
    <n v="2"/>
    <n v="0"/>
    <s v="no"/>
    <s v="yes"/>
    <s v="no"/>
    <s v="yes"/>
    <s v="yes"/>
    <s v="yes"/>
    <s v="no"/>
    <s v="no"/>
    <n v="5"/>
    <n v="4"/>
    <n v="2"/>
    <n v="2"/>
    <n v="3"/>
    <n v="5"/>
    <n v="0"/>
    <n v="17"/>
    <n v="18"/>
    <x v="4"/>
    <s v="Pass"/>
    <n v="1"/>
    <n v="0"/>
    <n v="0"/>
    <n v="40"/>
    <n v="50"/>
    <n v="13"/>
    <x v="0"/>
  </r>
  <r>
    <s v="GP"/>
    <s v="F"/>
    <n v="17"/>
    <s v="U"/>
    <s v="LE3"/>
    <s v="T"/>
    <n v="3"/>
    <n v="3"/>
    <s v="other"/>
    <s v="other"/>
    <s v="reputation"/>
    <s v="mother"/>
    <n v="1"/>
    <n v="2"/>
    <n v="0"/>
    <s v="no"/>
    <s v="yes"/>
    <s v="no"/>
    <s v="yes"/>
    <s v="yes"/>
    <s v="yes"/>
    <s v="yes"/>
    <s v="yes"/>
    <n v="5"/>
    <n v="3"/>
    <n v="3"/>
    <n v="2"/>
    <n v="3"/>
    <n v="1"/>
    <n v="32"/>
    <n v="14"/>
    <n v="13"/>
    <x v="2"/>
    <s v="Pass"/>
    <n v="0"/>
    <n v="0"/>
    <n v="80"/>
    <n v="40"/>
    <n v="0"/>
    <n v="32"/>
    <x v="1"/>
  </r>
  <r>
    <s v="GP"/>
    <s v="F"/>
    <n v="16"/>
    <s v="U"/>
    <s v="GT3"/>
    <s v="T"/>
    <n v="3"/>
    <n v="2"/>
    <s v="other"/>
    <s v="other"/>
    <s v="reputation"/>
    <s v="mother"/>
    <n v="1"/>
    <n v="2"/>
    <n v="0"/>
    <s v="no"/>
    <s v="yes"/>
    <s v="no"/>
    <s v="no"/>
    <s v="yes"/>
    <s v="yes"/>
    <s v="yes"/>
    <s v="no"/>
    <n v="1"/>
    <n v="2"/>
    <n v="2"/>
    <n v="1"/>
    <n v="2"/>
    <n v="1"/>
    <n v="8"/>
    <n v="14"/>
    <n v="15"/>
    <x v="8"/>
    <s v="Pass"/>
    <n v="0"/>
    <n v="0"/>
    <n v="0"/>
    <n v="40"/>
    <n v="0"/>
    <n v="8"/>
    <x v="0"/>
  </r>
  <r>
    <s v="GP"/>
    <s v="M"/>
    <n v="17"/>
    <s v="U"/>
    <s v="GT3"/>
    <s v="T"/>
    <n v="3"/>
    <n v="3"/>
    <s v="services"/>
    <s v="services"/>
    <s v="other"/>
    <s v="mother"/>
    <n v="1"/>
    <n v="2"/>
    <n v="0"/>
    <s v="no"/>
    <s v="yes"/>
    <s v="no"/>
    <s v="yes"/>
    <s v="yes"/>
    <s v="yes"/>
    <s v="yes"/>
    <s v="yes"/>
    <n v="4"/>
    <n v="3"/>
    <n v="4"/>
    <n v="2"/>
    <n v="3"/>
    <n v="4"/>
    <n v="6"/>
    <n v="11"/>
    <n v="13"/>
    <x v="2"/>
    <s v="Pass"/>
    <n v="0"/>
    <n v="0"/>
    <n v="0"/>
    <n v="40"/>
    <n v="0"/>
    <n v="8"/>
    <x v="0"/>
  </r>
  <r>
    <s v="GP"/>
    <s v="M"/>
    <n v="16"/>
    <s v="U"/>
    <s v="GT3"/>
    <s v="T"/>
    <n v="1"/>
    <n v="2"/>
    <s v="services"/>
    <s v="services"/>
    <s v="other"/>
    <s v="mother"/>
    <n v="1"/>
    <n v="1"/>
    <n v="0"/>
    <s v="no"/>
    <s v="yes"/>
    <s v="no"/>
    <s v="yes"/>
    <s v="yes"/>
    <s v="yes"/>
    <s v="yes"/>
    <s v="yes"/>
    <n v="3"/>
    <n v="3"/>
    <n v="3"/>
    <n v="1"/>
    <n v="2"/>
    <n v="3"/>
    <n v="0"/>
    <n v="10"/>
    <n v="9"/>
    <x v="0"/>
    <s v="Pass"/>
    <n v="0"/>
    <n v="0"/>
    <n v="0"/>
    <n v="70"/>
    <n v="0"/>
    <n v="14"/>
    <x v="0"/>
  </r>
  <r>
    <s v="GP"/>
    <s v="M"/>
    <n v="16"/>
    <s v="U"/>
    <s v="LE3"/>
    <s v="T"/>
    <n v="2"/>
    <n v="1"/>
    <s v="other"/>
    <s v="other"/>
    <s v="course"/>
    <s v="mother"/>
    <n v="1"/>
    <n v="2"/>
    <n v="0"/>
    <s v="no"/>
    <s v="no"/>
    <s v="no"/>
    <s v="yes"/>
    <s v="yes"/>
    <s v="yes"/>
    <s v="yes"/>
    <s v="yes"/>
    <n v="4"/>
    <n v="2"/>
    <n v="3"/>
    <n v="1"/>
    <n v="2"/>
    <n v="5"/>
    <n v="0"/>
    <n v="13"/>
    <n v="14"/>
    <x v="8"/>
    <s v="Pass"/>
    <n v="0"/>
    <n v="0"/>
    <n v="0"/>
    <n v="40"/>
    <n v="0"/>
    <n v="8"/>
    <x v="0"/>
  </r>
  <r>
    <s v="GP"/>
    <s v="F"/>
    <n v="17"/>
    <s v="U"/>
    <s v="GT3"/>
    <s v="A"/>
    <n v="3"/>
    <n v="3"/>
    <s v="health"/>
    <s v="other"/>
    <s v="reputation"/>
    <s v="mother"/>
    <n v="1"/>
    <n v="2"/>
    <n v="0"/>
    <s v="no"/>
    <s v="yes"/>
    <s v="no"/>
    <s v="no"/>
    <s v="no"/>
    <s v="yes"/>
    <s v="yes"/>
    <s v="yes"/>
    <n v="3"/>
    <n v="3"/>
    <n v="3"/>
    <n v="1"/>
    <n v="3"/>
    <n v="3"/>
    <n v="10"/>
    <n v="12"/>
    <n v="13"/>
    <x v="2"/>
    <s v="Pass"/>
    <n v="0"/>
    <n v="0"/>
    <n v="0"/>
    <n v="40"/>
    <n v="0"/>
    <n v="8"/>
    <x v="0"/>
  </r>
  <r>
    <s v="GP"/>
    <s v="M"/>
    <n v="17"/>
    <s v="R"/>
    <s v="GT3"/>
    <s v="T"/>
    <n v="1"/>
    <n v="2"/>
    <s v="at_home"/>
    <s v="other"/>
    <s v="home"/>
    <s v="mother"/>
    <n v="1"/>
    <n v="2"/>
    <n v="0"/>
    <s v="no"/>
    <s v="no"/>
    <s v="no"/>
    <s v="no"/>
    <s v="yes"/>
    <s v="yes"/>
    <s v="no"/>
    <s v="no"/>
    <n v="3"/>
    <n v="1"/>
    <n v="3"/>
    <n v="1"/>
    <n v="5"/>
    <n v="3"/>
    <n v="6"/>
    <n v="9"/>
    <n v="9"/>
    <x v="7"/>
    <s v="Pass"/>
    <n v="0"/>
    <n v="0"/>
    <n v="0"/>
    <n v="40"/>
    <n v="0"/>
    <n v="8"/>
    <x v="0"/>
  </r>
  <r>
    <s v="GP"/>
    <s v="F"/>
    <n v="16"/>
    <s v="U"/>
    <s v="GT3"/>
    <s v="T"/>
    <n v="2"/>
    <n v="3"/>
    <s v="services"/>
    <s v="services"/>
    <s v="course"/>
    <s v="mother"/>
    <n v="1"/>
    <n v="2"/>
    <n v="0"/>
    <s v="no"/>
    <s v="no"/>
    <s v="no"/>
    <s v="no"/>
    <s v="yes"/>
    <s v="yes"/>
    <s v="yes"/>
    <s v="no"/>
    <n v="4"/>
    <n v="3"/>
    <n v="3"/>
    <n v="1"/>
    <n v="1"/>
    <n v="2"/>
    <n v="6"/>
    <n v="12"/>
    <n v="12"/>
    <x v="3"/>
    <s v="Pass"/>
    <n v="0"/>
    <n v="0"/>
    <n v="0"/>
    <n v="40"/>
    <n v="0"/>
    <n v="8"/>
    <x v="0"/>
  </r>
  <r>
    <s v="GP"/>
    <s v="F"/>
    <n v="17"/>
    <s v="U"/>
    <s v="GT3"/>
    <s v="T"/>
    <n v="1"/>
    <n v="1"/>
    <s v="at_home"/>
    <s v="services"/>
    <s v="course"/>
    <s v="mother"/>
    <n v="1"/>
    <n v="2"/>
    <n v="0"/>
    <s v="no"/>
    <s v="no"/>
    <s v="no"/>
    <s v="yes"/>
    <s v="yes"/>
    <s v="yes"/>
    <s v="yes"/>
    <s v="no"/>
    <n v="5"/>
    <n v="3"/>
    <n v="3"/>
    <n v="1"/>
    <n v="1"/>
    <n v="3"/>
    <n v="0"/>
    <n v="12"/>
    <n v="11"/>
    <x v="1"/>
    <s v="Pass"/>
    <n v="0"/>
    <n v="0"/>
    <n v="0"/>
    <n v="40"/>
    <n v="0"/>
    <n v="8"/>
    <x v="0"/>
  </r>
  <r>
    <s v="GP"/>
    <s v="M"/>
    <n v="17"/>
    <s v="U"/>
    <s v="GT3"/>
    <s v="T"/>
    <n v="1"/>
    <n v="2"/>
    <s v="at_home"/>
    <s v="services"/>
    <s v="other"/>
    <s v="other"/>
    <n v="2"/>
    <n v="2"/>
    <n v="0"/>
    <s v="no"/>
    <s v="no"/>
    <s v="no"/>
    <s v="yes"/>
    <s v="no"/>
    <s v="yes"/>
    <s v="yes"/>
    <s v="no"/>
    <n v="4"/>
    <n v="4"/>
    <n v="4"/>
    <n v="4"/>
    <n v="5"/>
    <n v="5"/>
    <n v="16"/>
    <n v="10"/>
    <n v="11"/>
    <x v="1"/>
    <s v="Pass"/>
    <n v="0"/>
    <n v="0"/>
    <n v="80"/>
    <n v="40"/>
    <n v="0"/>
    <n v="32"/>
    <x v="1"/>
  </r>
  <r>
    <s v="GP"/>
    <s v="M"/>
    <n v="16"/>
    <s v="R"/>
    <s v="GT3"/>
    <s v="T"/>
    <n v="3"/>
    <n v="3"/>
    <s v="services"/>
    <s v="services"/>
    <s v="reputation"/>
    <s v="mother"/>
    <n v="1"/>
    <n v="1"/>
    <n v="0"/>
    <s v="no"/>
    <s v="yes"/>
    <s v="no"/>
    <s v="yes"/>
    <s v="yes"/>
    <s v="yes"/>
    <s v="yes"/>
    <s v="no"/>
    <n v="4"/>
    <n v="3"/>
    <n v="2"/>
    <n v="3"/>
    <n v="4"/>
    <n v="5"/>
    <n v="0"/>
    <n v="11"/>
    <n v="10"/>
    <x v="7"/>
    <s v="Pass"/>
    <n v="0"/>
    <n v="0"/>
    <n v="0"/>
    <n v="70"/>
    <n v="0"/>
    <n v="14"/>
    <x v="0"/>
  </r>
  <r>
    <s v="GP"/>
    <s v="M"/>
    <n v="16"/>
    <s v="U"/>
    <s v="GT3"/>
    <s v="T"/>
    <n v="2"/>
    <n v="3"/>
    <s v="other"/>
    <s v="other"/>
    <s v="home"/>
    <s v="father"/>
    <n v="2"/>
    <n v="1"/>
    <n v="0"/>
    <s v="no"/>
    <s v="no"/>
    <s v="no"/>
    <s v="no"/>
    <s v="yes"/>
    <s v="yes"/>
    <s v="yes"/>
    <s v="no"/>
    <n v="5"/>
    <n v="3"/>
    <n v="3"/>
    <n v="1"/>
    <n v="1"/>
    <n v="3"/>
    <n v="0"/>
    <n v="13"/>
    <n v="12"/>
    <x v="1"/>
    <s v="Pass"/>
    <n v="0"/>
    <n v="0"/>
    <n v="0"/>
    <n v="70"/>
    <n v="0"/>
    <n v="14"/>
    <x v="0"/>
  </r>
  <r>
    <s v="GP"/>
    <s v="F"/>
    <n v="17"/>
    <s v="U"/>
    <s v="LE3"/>
    <s v="T"/>
    <n v="2"/>
    <n v="4"/>
    <s v="services"/>
    <s v="services"/>
    <s v="course"/>
    <s v="father"/>
    <n v="1"/>
    <n v="2"/>
    <n v="0"/>
    <s v="no"/>
    <s v="no"/>
    <s v="no"/>
    <s v="yes"/>
    <s v="yes"/>
    <s v="yes"/>
    <s v="yes"/>
    <s v="yes"/>
    <n v="4"/>
    <n v="3"/>
    <n v="2"/>
    <n v="1"/>
    <n v="1"/>
    <n v="5"/>
    <n v="8"/>
    <n v="14"/>
    <n v="15"/>
    <x v="8"/>
    <s v="Pass"/>
    <n v="0"/>
    <n v="0"/>
    <n v="0"/>
    <n v="40"/>
    <n v="0"/>
    <n v="8"/>
    <x v="0"/>
  </r>
  <r>
    <s v="GP"/>
    <s v="M"/>
    <n v="17"/>
    <s v="U"/>
    <s v="GT3"/>
    <s v="T"/>
    <n v="4"/>
    <n v="4"/>
    <s v="services"/>
    <s v="teacher"/>
    <s v="home"/>
    <s v="mother"/>
    <n v="1"/>
    <n v="1"/>
    <n v="0"/>
    <s v="no"/>
    <s v="no"/>
    <s v="no"/>
    <s v="no"/>
    <s v="yes"/>
    <s v="yes"/>
    <s v="yes"/>
    <s v="no"/>
    <n v="5"/>
    <n v="2"/>
    <n v="3"/>
    <n v="1"/>
    <n v="2"/>
    <n v="5"/>
    <n v="4"/>
    <n v="13"/>
    <n v="13"/>
    <x v="2"/>
    <s v="Pass"/>
    <n v="0"/>
    <n v="0"/>
    <n v="0"/>
    <n v="70"/>
    <n v="0"/>
    <n v="14"/>
    <x v="0"/>
  </r>
  <r>
    <s v="GP"/>
    <s v="M"/>
    <n v="16"/>
    <s v="R"/>
    <s v="LE3"/>
    <s v="T"/>
    <n v="3"/>
    <n v="3"/>
    <s v="teacher"/>
    <s v="other"/>
    <s v="home"/>
    <s v="father"/>
    <n v="3"/>
    <n v="1"/>
    <n v="0"/>
    <s v="no"/>
    <s v="yes"/>
    <s v="no"/>
    <s v="yes"/>
    <s v="yes"/>
    <s v="yes"/>
    <s v="yes"/>
    <s v="no"/>
    <n v="3"/>
    <n v="3"/>
    <n v="4"/>
    <n v="3"/>
    <n v="5"/>
    <n v="3"/>
    <n v="16"/>
    <n v="10"/>
    <n v="11"/>
    <x v="1"/>
    <s v="Pass"/>
    <n v="0"/>
    <n v="0"/>
    <n v="80"/>
    <n v="70"/>
    <n v="0"/>
    <n v="38"/>
    <x v="1"/>
  </r>
  <r>
    <s v="GP"/>
    <s v="F"/>
    <n v="17"/>
    <s v="U"/>
    <s v="GT3"/>
    <s v="T"/>
    <n v="4"/>
    <n v="4"/>
    <s v="services"/>
    <s v="teacher"/>
    <s v="home"/>
    <s v="mother"/>
    <n v="2"/>
    <n v="1"/>
    <n v="1"/>
    <s v="no"/>
    <s v="yes"/>
    <s v="no"/>
    <s v="no"/>
    <s v="yes"/>
    <s v="yes"/>
    <s v="yes"/>
    <s v="no"/>
    <n v="4"/>
    <n v="2"/>
    <n v="4"/>
    <n v="2"/>
    <n v="3"/>
    <n v="2"/>
    <n v="30"/>
    <n v="14"/>
    <n v="15"/>
    <x v="8"/>
    <s v="Pass"/>
    <n v="0"/>
    <n v="60"/>
    <n v="80"/>
    <n v="70"/>
    <n v="0"/>
    <n v="62"/>
    <x v="2"/>
  </r>
  <r>
    <s v="GP"/>
    <s v="F"/>
    <n v="16"/>
    <s v="U"/>
    <s v="LE3"/>
    <s v="T"/>
    <n v="4"/>
    <n v="4"/>
    <s v="teacher"/>
    <s v="teacher"/>
    <s v="reputation"/>
    <s v="mother"/>
    <n v="1"/>
    <n v="2"/>
    <n v="0"/>
    <s v="no"/>
    <s v="yes"/>
    <s v="no"/>
    <s v="no"/>
    <s v="yes"/>
    <s v="yes"/>
    <s v="yes"/>
    <s v="no"/>
    <n v="4"/>
    <n v="5"/>
    <n v="2"/>
    <n v="1"/>
    <n v="2"/>
    <n v="3"/>
    <n v="0"/>
    <n v="11"/>
    <n v="10"/>
    <x v="0"/>
    <s v="Pass"/>
    <n v="0"/>
    <n v="0"/>
    <n v="0"/>
    <n v="40"/>
    <n v="0"/>
    <n v="8"/>
    <x v="0"/>
  </r>
  <r>
    <s v="GP"/>
    <s v="F"/>
    <n v="16"/>
    <s v="U"/>
    <s v="GT3"/>
    <s v="T"/>
    <n v="4"/>
    <n v="3"/>
    <s v="health"/>
    <s v="other"/>
    <s v="home"/>
    <s v="mother"/>
    <n v="1"/>
    <n v="2"/>
    <n v="0"/>
    <s v="no"/>
    <s v="yes"/>
    <s v="no"/>
    <s v="yes"/>
    <s v="yes"/>
    <s v="yes"/>
    <s v="yes"/>
    <s v="no"/>
    <n v="4"/>
    <n v="3"/>
    <n v="5"/>
    <n v="1"/>
    <n v="5"/>
    <n v="2"/>
    <n v="2"/>
    <n v="14"/>
    <n v="14"/>
    <x v="5"/>
    <s v="Pass"/>
    <n v="0"/>
    <n v="0"/>
    <n v="0"/>
    <n v="40"/>
    <n v="0"/>
    <n v="8"/>
    <x v="0"/>
  </r>
  <r>
    <s v="GP"/>
    <s v="F"/>
    <n v="16"/>
    <s v="U"/>
    <s v="GT3"/>
    <s v="T"/>
    <n v="2"/>
    <n v="3"/>
    <s v="other"/>
    <s v="other"/>
    <s v="reputation"/>
    <s v="mother"/>
    <n v="1"/>
    <n v="2"/>
    <n v="0"/>
    <s v="yes"/>
    <s v="yes"/>
    <s v="no"/>
    <s v="yes"/>
    <s v="yes"/>
    <s v="yes"/>
    <s v="no"/>
    <s v="no"/>
    <n v="4"/>
    <n v="4"/>
    <n v="3"/>
    <n v="1"/>
    <n v="3"/>
    <n v="4"/>
    <n v="4"/>
    <n v="11"/>
    <n v="12"/>
    <x v="1"/>
    <s v="Pass"/>
    <n v="0"/>
    <n v="0"/>
    <n v="0"/>
    <n v="40"/>
    <n v="0"/>
    <n v="8"/>
    <x v="0"/>
  </r>
  <r>
    <s v="GP"/>
    <s v="F"/>
    <n v="17"/>
    <s v="U"/>
    <s v="GT3"/>
    <s v="T"/>
    <n v="1"/>
    <n v="1"/>
    <s v="other"/>
    <s v="other"/>
    <s v="course"/>
    <s v="mother"/>
    <n v="1"/>
    <n v="2"/>
    <n v="0"/>
    <s v="no"/>
    <s v="yes"/>
    <s v="no"/>
    <s v="no"/>
    <s v="no"/>
    <s v="yes"/>
    <s v="no"/>
    <s v="no"/>
    <n v="4"/>
    <n v="4"/>
    <n v="4"/>
    <n v="1"/>
    <n v="3"/>
    <n v="1"/>
    <n v="0"/>
    <n v="14"/>
    <n v="15"/>
    <x v="5"/>
    <s v="Pass"/>
    <n v="0"/>
    <n v="0"/>
    <n v="0"/>
    <n v="40"/>
    <n v="0"/>
    <n v="8"/>
    <x v="0"/>
  </r>
  <r>
    <s v="GP"/>
    <s v="F"/>
    <n v="17"/>
    <s v="R"/>
    <s v="GT3"/>
    <s v="T"/>
    <n v="2"/>
    <n v="2"/>
    <s v="other"/>
    <s v="other"/>
    <s v="reputation"/>
    <s v="mother"/>
    <n v="1"/>
    <n v="1"/>
    <n v="0"/>
    <s v="no"/>
    <s v="yes"/>
    <s v="no"/>
    <s v="no"/>
    <s v="yes"/>
    <s v="yes"/>
    <s v="yes"/>
    <s v="no"/>
    <n v="5"/>
    <n v="3"/>
    <n v="2"/>
    <n v="1"/>
    <n v="2"/>
    <n v="3"/>
    <n v="21"/>
    <n v="13"/>
    <n v="13"/>
    <x v="3"/>
    <s v="Pass"/>
    <n v="0"/>
    <n v="0"/>
    <n v="80"/>
    <n v="70"/>
    <n v="0"/>
    <n v="38"/>
    <x v="1"/>
  </r>
  <r>
    <s v="GP"/>
    <s v="F"/>
    <n v="16"/>
    <s v="R"/>
    <s v="GT3"/>
    <s v="T"/>
    <n v="2"/>
    <n v="2"/>
    <s v="services"/>
    <s v="services"/>
    <s v="reputation"/>
    <s v="mother"/>
    <n v="2"/>
    <n v="4"/>
    <n v="0"/>
    <s v="no"/>
    <s v="yes"/>
    <s v="no"/>
    <s v="yes"/>
    <s v="no"/>
    <s v="yes"/>
    <s v="yes"/>
    <s v="no"/>
    <n v="5"/>
    <n v="3"/>
    <n v="5"/>
    <n v="1"/>
    <n v="1"/>
    <n v="5"/>
    <n v="6"/>
    <n v="13"/>
    <n v="13"/>
    <x v="3"/>
    <s v="Pass"/>
    <n v="0"/>
    <n v="0"/>
    <n v="0"/>
    <n v="0"/>
    <n v="0"/>
    <n v="0"/>
    <x v="0"/>
  </r>
  <r>
    <s v="GP"/>
    <s v="F"/>
    <n v="17"/>
    <s v="U"/>
    <s v="GT3"/>
    <s v="T"/>
    <n v="3"/>
    <n v="4"/>
    <s v="at_home"/>
    <s v="services"/>
    <s v="home"/>
    <s v="mother"/>
    <n v="1"/>
    <n v="3"/>
    <n v="1"/>
    <s v="no"/>
    <s v="yes"/>
    <s v="yes"/>
    <s v="no"/>
    <s v="yes"/>
    <s v="yes"/>
    <s v="yes"/>
    <s v="yes"/>
    <n v="4"/>
    <n v="4"/>
    <n v="3"/>
    <n v="3"/>
    <n v="4"/>
    <n v="5"/>
    <n v="14"/>
    <n v="8"/>
    <n v="9"/>
    <x v="10"/>
    <s v="Fail"/>
    <n v="1"/>
    <n v="60"/>
    <n v="50"/>
    <n v="0"/>
    <n v="50"/>
    <n v="44"/>
    <x v="1"/>
  </r>
  <r>
    <s v="GP"/>
    <s v="F"/>
    <n v="16"/>
    <s v="U"/>
    <s v="GT3"/>
    <s v="A"/>
    <n v="3"/>
    <n v="1"/>
    <s v="services"/>
    <s v="other"/>
    <s v="course"/>
    <s v="mother"/>
    <n v="1"/>
    <n v="2"/>
    <n v="0"/>
    <s v="no"/>
    <s v="yes"/>
    <s v="no"/>
    <s v="no"/>
    <s v="yes"/>
    <s v="yes"/>
    <s v="yes"/>
    <s v="no"/>
    <n v="2"/>
    <n v="3"/>
    <n v="3"/>
    <n v="2"/>
    <n v="2"/>
    <n v="4"/>
    <n v="2"/>
    <n v="11"/>
    <n v="11"/>
    <x v="1"/>
    <s v="Pass"/>
    <n v="0"/>
    <n v="0"/>
    <n v="0"/>
    <n v="40"/>
    <n v="0"/>
    <n v="8"/>
    <x v="0"/>
  </r>
  <r>
    <s v="GP"/>
    <s v="F"/>
    <n v="16"/>
    <s v="U"/>
    <s v="GT3"/>
    <s v="T"/>
    <n v="4"/>
    <n v="3"/>
    <s v="teacher"/>
    <s v="other"/>
    <s v="other"/>
    <s v="mother"/>
    <n v="1"/>
    <n v="2"/>
    <n v="0"/>
    <s v="no"/>
    <s v="no"/>
    <s v="no"/>
    <s v="yes"/>
    <s v="yes"/>
    <s v="yes"/>
    <s v="yes"/>
    <s v="yes"/>
    <n v="1"/>
    <n v="3"/>
    <n v="2"/>
    <n v="1"/>
    <n v="1"/>
    <n v="1"/>
    <n v="4"/>
    <n v="14"/>
    <n v="15"/>
    <x v="5"/>
    <s v="Pass"/>
    <n v="0"/>
    <n v="0"/>
    <n v="0"/>
    <n v="40"/>
    <n v="0"/>
    <n v="8"/>
    <x v="0"/>
  </r>
  <r>
    <s v="GP"/>
    <s v="F"/>
    <n v="16"/>
    <s v="U"/>
    <s v="GT3"/>
    <s v="T"/>
    <n v="1"/>
    <n v="1"/>
    <s v="at_home"/>
    <s v="other"/>
    <s v="home"/>
    <s v="mother"/>
    <n v="2"/>
    <n v="1"/>
    <n v="0"/>
    <s v="no"/>
    <s v="yes"/>
    <s v="no"/>
    <s v="no"/>
    <s v="yes"/>
    <s v="yes"/>
    <s v="no"/>
    <s v="no"/>
    <n v="4"/>
    <n v="3"/>
    <n v="2"/>
    <n v="1"/>
    <n v="4"/>
    <n v="5"/>
    <n v="2"/>
    <n v="12"/>
    <n v="13"/>
    <x v="3"/>
    <s v="Pass"/>
    <n v="0"/>
    <n v="0"/>
    <n v="0"/>
    <n v="70"/>
    <n v="0"/>
    <n v="14"/>
    <x v="0"/>
  </r>
  <r>
    <s v="GP"/>
    <s v="F"/>
    <n v="17"/>
    <s v="R"/>
    <s v="GT3"/>
    <s v="T"/>
    <n v="4"/>
    <n v="3"/>
    <s v="teacher"/>
    <s v="other"/>
    <s v="reputation"/>
    <s v="mother"/>
    <n v="2"/>
    <n v="3"/>
    <n v="0"/>
    <s v="no"/>
    <s v="yes"/>
    <s v="no"/>
    <s v="yes"/>
    <s v="yes"/>
    <s v="yes"/>
    <s v="yes"/>
    <s v="yes"/>
    <n v="4"/>
    <n v="4"/>
    <n v="2"/>
    <n v="1"/>
    <n v="1"/>
    <n v="4"/>
    <n v="0"/>
    <n v="11"/>
    <n v="12"/>
    <x v="1"/>
    <s v="Pass"/>
    <n v="0"/>
    <n v="0"/>
    <n v="0"/>
    <n v="0"/>
    <n v="0"/>
    <n v="0"/>
    <x v="0"/>
  </r>
  <r>
    <s v="GP"/>
    <s v="F"/>
    <n v="19"/>
    <s v="U"/>
    <s v="GT3"/>
    <s v="T"/>
    <n v="3"/>
    <n v="3"/>
    <s v="other"/>
    <s v="other"/>
    <s v="reputation"/>
    <s v="other"/>
    <n v="1"/>
    <n v="4"/>
    <n v="0"/>
    <s v="no"/>
    <s v="yes"/>
    <s v="no"/>
    <s v="yes"/>
    <s v="yes"/>
    <s v="yes"/>
    <s v="yes"/>
    <s v="no"/>
    <n v="4"/>
    <n v="3"/>
    <n v="3"/>
    <n v="1"/>
    <n v="2"/>
    <n v="3"/>
    <n v="4"/>
    <n v="12"/>
    <n v="12"/>
    <x v="1"/>
    <s v="Pass"/>
    <n v="0"/>
    <n v="0"/>
    <n v="0"/>
    <n v="0"/>
    <n v="0"/>
    <n v="0"/>
    <x v="0"/>
  </r>
  <r>
    <s v="GP"/>
    <s v="M"/>
    <n v="17"/>
    <s v="U"/>
    <s v="LE3"/>
    <s v="T"/>
    <n v="4"/>
    <n v="4"/>
    <s v="services"/>
    <s v="other"/>
    <s v="home"/>
    <s v="mother"/>
    <n v="1"/>
    <n v="2"/>
    <n v="0"/>
    <s v="no"/>
    <s v="yes"/>
    <s v="no"/>
    <s v="no"/>
    <s v="yes"/>
    <s v="yes"/>
    <s v="yes"/>
    <s v="yes"/>
    <n v="5"/>
    <n v="3"/>
    <n v="5"/>
    <n v="4"/>
    <n v="5"/>
    <n v="3"/>
    <n v="15"/>
    <n v="13"/>
    <n v="12"/>
    <x v="1"/>
    <s v="Pass"/>
    <n v="0"/>
    <n v="0"/>
    <n v="50"/>
    <n v="40"/>
    <n v="0"/>
    <n v="23"/>
    <x v="0"/>
  </r>
  <r>
    <s v="GP"/>
    <s v="F"/>
    <n v="16"/>
    <s v="U"/>
    <s v="GT3"/>
    <s v="A"/>
    <n v="2"/>
    <n v="2"/>
    <s v="other"/>
    <s v="other"/>
    <s v="reputation"/>
    <s v="mother"/>
    <n v="1"/>
    <n v="2"/>
    <n v="0"/>
    <s v="yes"/>
    <s v="yes"/>
    <s v="no"/>
    <s v="no"/>
    <s v="yes"/>
    <s v="yes"/>
    <s v="yes"/>
    <s v="no"/>
    <n v="3"/>
    <n v="3"/>
    <n v="4"/>
    <n v="1"/>
    <n v="1"/>
    <n v="4"/>
    <n v="0"/>
    <n v="13"/>
    <n v="13"/>
    <x v="3"/>
    <s v="Pass"/>
    <n v="0"/>
    <n v="0"/>
    <n v="0"/>
    <n v="40"/>
    <n v="0"/>
    <n v="8"/>
    <x v="0"/>
  </r>
  <r>
    <s v="GP"/>
    <s v="M"/>
    <n v="18"/>
    <s v="U"/>
    <s v="GT3"/>
    <s v="T"/>
    <n v="2"/>
    <n v="2"/>
    <s v="services"/>
    <s v="other"/>
    <s v="home"/>
    <s v="mother"/>
    <n v="1"/>
    <n v="2"/>
    <n v="0"/>
    <s v="no"/>
    <s v="yes"/>
    <s v="no"/>
    <s v="yes"/>
    <s v="yes"/>
    <s v="yes"/>
    <s v="yes"/>
    <s v="no"/>
    <n v="4"/>
    <n v="4"/>
    <n v="4"/>
    <n v="2"/>
    <n v="4"/>
    <n v="5"/>
    <n v="10"/>
    <n v="12"/>
    <n v="11"/>
    <x v="0"/>
    <s v="Pass"/>
    <n v="0"/>
    <n v="0"/>
    <n v="0"/>
    <n v="40"/>
    <n v="0"/>
    <n v="8"/>
    <x v="0"/>
  </r>
  <r>
    <s v="GP"/>
    <s v="F"/>
    <n v="17"/>
    <s v="R"/>
    <s v="LE3"/>
    <s v="T"/>
    <n v="4"/>
    <n v="4"/>
    <s v="services"/>
    <s v="other"/>
    <s v="other"/>
    <s v="mother"/>
    <n v="1"/>
    <n v="1"/>
    <n v="0"/>
    <s v="no"/>
    <s v="yes"/>
    <s v="no"/>
    <s v="no"/>
    <s v="yes"/>
    <s v="yes"/>
    <s v="no"/>
    <s v="no"/>
    <n v="5"/>
    <n v="2"/>
    <n v="1"/>
    <n v="1"/>
    <n v="2"/>
    <n v="3"/>
    <n v="6"/>
    <n v="12"/>
    <n v="11"/>
    <x v="0"/>
    <s v="Pass"/>
    <n v="0"/>
    <n v="0"/>
    <n v="0"/>
    <n v="70"/>
    <n v="0"/>
    <n v="14"/>
    <x v="0"/>
  </r>
  <r>
    <s v="GP"/>
    <s v="F"/>
    <n v="17"/>
    <s v="U"/>
    <s v="LE3"/>
    <s v="T"/>
    <n v="3"/>
    <n v="2"/>
    <s v="other"/>
    <s v="other"/>
    <s v="reputation"/>
    <s v="mother"/>
    <n v="2"/>
    <n v="2"/>
    <n v="0"/>
    <s v="no"/>
    <s v="no"/>
    <s v="no"/>
    <s v="no"/>
    <s v="yes"/>
    <s v="yes"/>
    <s v="yes"/>
    <s v="no"/>
    <n v="4"/>
    <n v="4"/>
    <n v="4"/>
    <n v="1"/>
    <n v="3"/>
    <n v="1"/>
    <n v="2"/>
    <n v="14"/>
    <n v="16"/>
    <x v="5"/>
    <s v="Pass"/>
    <n v="1"/>
    <n v="0"/>
    <n v="0"/>
    <n v="40"/>
    <n v="50"/>
    <n v="13"/>
    <x v="0"/>
  </r>
  <r>
    <s v="GP"/>
    <s v="F"/>
    <n v="17"/>
    <s v="U"/>
    <s v="GT3"/>
    <s v="T"/>
    <n v="4"/>
    <n v="3"/>
    <s v="other"/>
    <s v="other"/>
    <s v="reputation"/>
    <s v="mother"/>
    <n v="1"/>
    <n v="2"/>
    <n v="0"/>
    <s v="no"/>
    <s v="no"/>
    <s v="no"/>
    <s v="no"/>
    <s v="yes"/>
    <s v="yes"/>
    <s v="yes"/>
    <s v="yes"/>
    <n v="3"/>
    <n v="4"/>
    <n v="5"/>
    <n v="2"/>
    <n v="4"/>
    <n v="1"/>
    <n v="16"/>
    <n v="11"/>
    <n v="9"/>
    <x v="7"/>
    <s v="Pass"/>
    <n v="0"/>
    <n v="0"/>
    <n v="80"/>
    <n v="40"/>
    <n v="0"/>
    <n v="32"/>
    <x v="1"/>
  </r>
  <r>
    <s v="GP"/>
    <s v="M"/>
    <n v="18"/>
    <s v="U"/>
    <s v="LE3"/>
    <s v="T"/>
    <n v="3"/>
    <n v="3"/>
    <s v="services"/>
    <s v="health"/>
    <s v="home"/>
    <s v="father"/>
    <n v="1"/>
    <n v="2"/>
    <n v="0"/>
    <s v="no"/>
    <s v="yes"/>
    <s v="no"/>
    <s v="no"/>
    <s v="yes"/>
    <s v="yes"/>
    <s v="yes"/>
    <s v="no"/>
    <n v="3"/>
    <n v="2"/>
    <n v="4"/>
    <n v="2"/>
    <n v="4"/>
    <n v="4"/>
    <n v="10"/>
    <n v="10"/>
    <n v="10"/>
    <x v="7"/>
    <s v="Pass"/>
    <n v="0"/>
    <n v="0"/>
    <n v="0"/>
    <n v="40"/>
    <n v="0"/>
    <n v="8"/>
    <x v="0"/>
  </r>
  <r>
    <s v="GP"/>
    <s v="F"/>
    <n v="17"/>
    <s v="U"/>
    <s v="GT3"/>
    <s v="T"/>
    <n v="2"/>
    <n v="3"/>
    <s v="at_home"/>
    <s v="other"/>
    <s v="home"/>
    <s v="father"/>
    <n v="2"/>
    <n v="1"/>
    <n v="0"/>
    <s v="no"/>
    <s v="yes"/>
    <s v="no"/>
    <s v="no"/>
    <s v="yes"/>
    <s v="yes"/>
    <s v="no"/>
    <s v="no"/>
    <n v="3"/>
    <n v="3"/>
    <n v="3"/>
    <n v="1"/>
    <n v="4"/>
    <n v="3"/>
    <n v="4"/>
    <n v="12"/>
    <n v="13"/>
    <x v="3"/>
    <s v="Pass"/>
    <n v="0"/>
    <n v="0"/>
    <n v="0"/>
    <n v="70"/>
    <n v="0"/>
    <n v="14"/>
    <x v="0"/>
  </r>
  <r>
    <s v="GP"/>
    <s v="F"/>
    <n v="17"/>
    <s v="U"/>
    <s v="GT3"/>
    <s v="T"/>
    <n v="2"/>
    <n v="2"/>
    <s v="at_home"/>
    <s v="at_home"/>
    <s v="course"/>
    <s v="mother"/>
    <n v="1"/>
    <n v="3"/>
    <n v="0"/>
    <s v="no"/>
    <s v="yes"/>
    <s v="no"/>
    <s v="yes"/>
    <s v="yes"/>
    <s v="yes"/>
    <s v="yes"/>
    <s v="no"/>
    <n v="4"/>
    <n v="3"/>
    <n v="3"/>
    <n v="1"/>
    <n v="1"/>
    <n v="4"/>
    <n v="0"/>
    <n v="12"/>
    <n v="12"/>
    <x v="3"/>
    <s v="Pass"/>
    <n v="0"/>
    <n v="0"/>
    <n v="0"/>
    <n v="0"/>
    <n v="0"/>
    <n v="0"/>
    <x v="0"/>
  </r>
  <r>
    <s v="GP"/>
    <s v="F"/>
    <n v="17"/>
    <s v="R"/>
    <s v="GT3"/>
    <s v="T"/>
    <n v="2"/>
    <n v="1"/>
    <s v="at_home"/>
    <s v="services"/>
    <s v="reputation"/>
    <s v="mother"/>
    <n v="2"/>
    <n v="2"/>
    <n v="0"/>
    <s v="no"/>
    <s v="yes"/>
    <s v="no"/>
    <s v="yes"/>
    <s v="yes"/>
    <s v="yes"/>
    <s v="yes"/>
    <s v="no"/>
    <n v="4"/>
    <n v="2"/>
    <n v="5"/>
    <n v="1"/>
    <n v="2"/>
    <n v="5"/>
    <n v="0"/>
    <n v="11"/>
    <n v="10"/>
    <x v="0"/>
    <s v="Pass"/>
    <n v="0"/>
    <n v="0"/>
    <n v="0"/>
    <n v="40"/>
    <n v="0"/>
    <n v="8"/>
    <x v="0"/>
  </r>
  <r>
    <s v="GP"/>
    <s v="F"/>
    <n v="17"/>
    <s v="U"/>
    <s v="GT3"/>
    <s v="T"/>
    <n v="1"/>
    <n v="1"/>
    <s v="at_home"/>
    <s v="other"/>
    <s v="reputation"/>
    <s v="mother"/>
    <n v="1"/>
    <n v="3"/>
    <n v="0"/>
    <s v="no"/>
    <s v="yes"/>
    <s v="no"/>
    <s v="yes"/>
    <s v="yes"/>
    <s v="yes"/>
    <s v="no"/>
    <s v="yes"/>
    <n v="4"/>
    <n v="3"/>
    <n v="4"/>
    <n v="1"/>
    <n v="1"/>
    <n v="5"/>
    <n v="12"/>
    <n v="12"/>
    <n v="12"/>
    <x v="1"/>
    <s v="Pass"/>
    <n v="0"/>
    <n v="0"/>
    <n v="50"/>
    <n v="0"/>
    <n v="0"/>
    <n v="15"/>
    <x v="0"/>
  </r>
  <r>
    <s v="GP"/>
    <s v="F"/>
    <n v="16"/>
    <s v="U"/>
    <s v="GT3"/>
    <s v="T"/>
    <n v="2"/>
    <n v="3"/>
    <s v="services"/>
    <s v="teacher"/>
    <s v="other"/>
    <s v="mother"/>
    <n v="1"/>
    <n v="2"/>
    <n v="0"/>
    <s v="yes"/>
    <s v="no"/>
    <s v="no"/>
    <s v="no"/>
    <s v="yes"/>
    <s v="yes"/>
    <s v="yes"/>
    <s v="no"/>
    <n v="2"/>
    <n v="3"/>
    <n v="1"/>
    <n v="1"/>
    <n v="1"/>
    <n v="3"/>
    <n v="0"/>
    <n v="13"/>
    <n v="13"/>
    <x v="2"/>
    <s v="Pass"/>
    <n v="0"/>
    <n v="0"/>
    <n v="0"/>
    <n v="40"/>
    <n v="0"/>
    <n v="8"/>
    <x v="0"/>
  </r>
  <r>
    <s v="GP"/>
    <s v="M"/>
    <n v="18"/>
    <s v="U"/>
    <s v="GT3"/>
    <s v="T"/>
    <n v="2"/>
    <n v="2"/>
    <s v="other"/>
    <s v="other"/>
    <s v="home"/>
    <s v="mother"/>
    <n v="2"/>
    <n v="2"/>
    <n v="3"/>
    <s v="no"/>
    <s v="yes"/>
    <s v="yes"/>
    <s v="no"/>
    <s v="yes"/>
    <s v="yes"/>
    <s v="yes"/>
    <s v="no"/>
    <n v="3"/>
    <n v="3"/>
    <n v="3"/>
    <n v="5"/>
    <n v="5"/>
    <n v="4"/>
    <n v="9"/>
    <n v="10"/>
    <n v="9"/>
    <x v="7"/>
    <s v="Pass"/>
    <n v="0"/>
    <n v="100"/>
    <n v="0"/>
    <n v="40"/>
    <n v="0"/>
    <n v="48"/>
    <x v="1"/>
  </r>
  <r>
    <s v="GP"/>
    <s v="F"/>
    <n v="16"/>
    <s v="U"/>
    <s v="GT3"/>
    <s v="T"/>
    <n v="4"/>
    <n v="4"/>
    <s v="teacher"/>
    <s v="services"/>
    <s v="home"/>
    <s v="mother"/>
    <n v="1"/>
    <n v="3"/>
    <n v="0"/>
    <s v="no"/>
    <s v="yes"/>
    <s v="no"/>
    <s v="yes"/>
    <s v="no"/>
    <s v="yes"/>
    <s v="yes"/>
    <s v="no"/>
    <n v="5"/>
    <n v="3"/>
    <n v="2"/>
    <n v="1"/>
    <n v="1"/>
    <n v="5"/>
    <n v="4"/>
    <n v="15"/>
    <n v="16"/>
    <x v="8"/>
    <s v="Pass"/>
    <n v="0"/>
    <n v="0"/>
    <n v="0"/>
    <n v="0"/>
    <n v="0"/>
    <n v="0"/>
    <x v="0"/>
  </r>
  <r>
    <s v="GP"/>
    <s v="F"/>
    <n v="18"/>
    <s v="R"/>
    <s v="GT3"/>
    <s v="T"/>
    <n v="3"/>
    <n v="1"/>
    <s v="other"/>
    <s v="other"/>
    <s v="reputation"/>
    <s v="mother"/>
    <n v="1"/>
    <n v="2"/>
    <n v="0"/>
    <s v="no"/>
    <s v="no"/>
    <s v="no"/>
    <s v="yes"/>
    <s v="yes"/>
    <s v="yes"/>
    <s v="yes"/>
    <s v="yes"/>
    <n v="5"/>
    <n v="3"/>
    <n v="3"/>
    <n v="1"/>
    <n v="1"/>
    <n v="4"/>
    <n v="4"/>
    <n v="8"/>
    <n v="8"/>
    <x v="10"/>
    <s v="Fail"/>
    <n v="0"/>
    <n v="0"/>
    <n v="0"/>
    <n v="40"/>
    <n v="0"/>
    <n v="8"/>
    <x v="0"/>
  </r>
  <r>
    <s v="GP"/>
    <s v="F"/>
    <n v="17"/>
    <s v="U"/>
    <s v="GT3"/>
    <s v="T"/>
    <n v="3"/>
    <n v="2"/>
    <s v="other"/>
    <s v="other"/>
    <s v="course"/>
    <s v="mother"/>
    <n v="1"/>
    <n v="2"/>
    <n v="0"/>
    <s v="no"/>
    <s v="no"/>
    <s v="no"/>
    <s v="yes"/>
    <s v="no"/>
    <s v="yes"/>
    <s v="yes"/>
    <s v="no"/>
    <n v="5"/>
    <n v="3"/>
    <n v="4"/>
    <n v="1"/>
    <n v="3"/>
    <n v="3"/>
    <n v="2"/>
    <n v="17"/>
    <n v="18"/>
    <x v="4"/>
    <s v="Pass"/>
    <n v="1"/>
    <n v="0"/>
    <n v="0"/>
    <n v="40"/>
    <n v="50"/>
    <n v="13"/>
    <x v="0"/>
  </r>
  <r>
    <s v="GP"/>
    <s v="M"/>
    <n v="17"/>
    <s v="U"/>
    <s v="LE3"/>
    <s v="T"/>
    <n v="2"/>
    <n v="3"/>
    <s v="services"/>
    <s v="services"/>
    <s v="reputation"/>
    <s v="father"/>
    <n v="1"/>
    <n v="2"/>
    <n v="0"/>
    <s v="no"/>
    <s v="yes"/>
    <s v="no"/>
    <s v="no"/>
    <s v="no"/>
    <s v="yes"/>
    <s v="yes"/>
    <s v="no"/>
    <n v="5"/>
    <n v="3"/>
    <n v="3"/>
    <n v="1"/>
    <n v="3"/>
    <n v="3"/>
    <n v="0"/>
    <n v="10"/>
    <n v="11"/>
    <x v="0"/>
    <s v="Pass"/>
    <n v="0"/>
    <n v="0"/>
    <n v="0"/>
    <n v="40"/>
    <n v="0"/>
    <n v="8"/>
    <x v="0"/>
  </r>
  <r>
    <s v="GP"/>
    <s v="M"/>
    <n v="18"/>
    <s v="U"/>
    <s v="LE3"/>
    <s v="T"/>
    <n v="2"/>
    <n v="1"/>
    <s v="at_home"/>
    <s v="other"/>
    <s v="course"/>
    <s v="mother"/>
    <n v="4"/>
    <n v="2"/>
    <n v="0"/>
    <s v="yes"/>
    <s v="yes"/>
    <s v="no"/>
    <s v="yes"/>
    <s v="yes"/>
    <s v="yes"/>
    <s v="yes"/>
    <s v="yes"/>
    <n v="4"/>
    <n v="3"/>
    <n v="2"/>
    <n v="4"/>
    <n v="5"/>
    <n v="3"/>
    <n v="2"/>
    <n v="9"/>
    <n v="10"/>
    <x v="0"/>
    <s v="Pass"/>
    <n v="0"/>
    <n v="0"/>
    <n v="0"/>
    <n v="40"/>
    <n v="0"/>
    <n v="8"/>
    <x v="0"/>
  </r>
  <r>
    <s v="GP"/>
    <s v="F"/>
    <n v="17"/>
    <s v="U"/>
    <s v="GT3"/>
    <s v="A"/>
    <n v="2"/>
    <n v="1"/>
    <s v="other"/>
    <s v="other"/>
    <s v="course"/>
    <s v="mother"/>
    <n v="2"/>
    <n v="3"/>
    <n v="0"/>
    <s v="no"/>
    <s v="no"/>
    <s v="no"/>
    <s v="yes"/>
    <s v="yes"/>
    <s v="yes"/>
    <s v="yes"/>
    <s v="yes"/>
    <n v="3"/>
    <n v="2"/>
    <n v="3"/>
    <n v="1"/>
    <n v="2"/>
    <n v="3"/>
    <n v="0"/>
    <n v="15"/>
    <n v="15"/>
    <x v="8"/>
    <s v="Pass"/>
    <n v="0"/>
    <n v="0"/>
    <n v="0"/>
    <n v="0"/>
    <n v="0"/>
    <n v="0"/>
    <x v="0"/>
  </r>
  <r>
    <s v="GP"/>
    <s v="F"/>
    <n v="17"/>
    <s v="U"/>
    <s v="LE3"/>
    <s v="T"/>
    <n v="4"/>
    <n v="3"/>
    <s v="health"/>
    <s v="other"/>
    <s v="reputation"/>
    <s v="father"/>
    <n v="1"/>
    <n v="2"/>
    <n v="0"/>
    <s v="no"/>
    <s v="no"/>
    <s v="no"/>
    <s v="yes"/>
    <s v="yes"/>
    <s v="yes"/>
    <s v="yes"/>
    <s v="yes"/>
    <n v="3"/>
    <n v="2"/>
    <n v="3"/>
    <n v="1"/>
    <n v="2"/>
    <n v="3"/>
    <n v="0"/>
    <n v="14"/>
    <n v="12"/>
    <x v="1"/>
    <s v="Pass"/>
    <n v="0"/>
    <n v="0"/>
    <n v="0"/>
    <n v="40"/>
    <n v="0"/>
    <n v="8"/>
    <x v="0"/>
  </r>
  <r>
    <s v="GP"/>
    <s v="M"/>
    <n v="17"/>
    <s v="R"/>
    <s v="GT3"/>
    <s v="T"/>
    <n v="2"/>
    <n v="2"/>
    <s v="other"/>
    <s v="other"/>
    <s v="course"/>
    <s v="father"/>
    <n v="2"/>
    <n v="2"/>
    <n v="0"/>
    <s v="no"/>
    <s v="yes"/>
    <s v="no"/>
    <s v="yes"/>
    <s v="yes"/>
    <s v="yes"/>
    <s v="yes"/>
    <s v="no"/>
    <n v="4"/>
    <n v="5"/>
    <n v="2"/>
    <n v="1"/>
    <n v="1"/>
    <n v="1"/>
    <n v="0"/>
    <n v="12"/>
    <n v="13"/>
    <x v="3"/>
    <s v="Pass"/>
    <n v="0"/>
    <n v="0"/>
    <n v="0"/>
    <n v="40"/>
    <n v="0"/>
    <n v="8"/>
    <x v="0"/>
  </r>
  <r>
    <s v="GP"/>
    <s v="M"/>
    <n v="17"/>
    <s v="U"/>
    <s v="GT3"/>
    <s v="T"/>
    <n v="4"/>
    <n v="4"/>
    <s v="teacher"/>
    <s v="teacher"/>
    <s v="reputation"/>
    <s v="mother"/>
    <n v="1"/>
    <n v="2"/>
    <n v="0"/>
    <s v="yes"/>
    <s v="yes"/>
    <s v="no"/>
    <s v="yes"/>
    <s v="yes"/>
    <s v="yes"/>
    <s v="yes"/>
    <s v="yes"/>
    <n v="4"/>
    <n v="5"/>
    <n v="5"/>
    <n v="1"/>
    <n v="3"/>
    <n v="2"/>
    <n v="0"/>
    <n v="13"/>
    <n v="13"/>
    <x v="3"/>
    <s v="Pass"/>
    <n v="0"/>
    <n v="0"/>
    <n v="0"/>
    <n v="40"/>
    <n v="0"/>
    <n v="8"/>
    <x v="0"/>
  </r>
  <r>
    <s v="GP"/>
    <s v="M"/>
    <n v="16"/>
    <s v="U"/>
    <s v="GT3"/>
    <s v="T"/>
    <n v="4"/>
    <n v="4"/>
    <s v="health"/>
    <s v="other"/>
    <s v="reputation"/>
    <s v="father"/>
    <n v="1"/>
    <n v="2"/>
    <n v="0"/>
    <s v="no"/>
    <s v="yes"/>
    <s v="no"/>
    <s v="yes"/>
    <s v="yes"/>
    <s v="yes"/>
    <s v="yes"/>
    <s v="no"/>
    <n v="4"/>
    <n v="2"/>
    <n v="4"/>
    <n v="2"/>
    <n v="4"/>
    <n v="1"/>
    <n v="0"/>
    <n v="13"/>
    <n v="13"/>
    <x v="2"/>
    <s v="Pass"/>
    <n v="0"/>
    <n v="0"/>
    <n v="0"/>
    <n v="40"/>
    <n v="0"/>
    <n v="8"/>
    <x v="0"/>
  </r>
  <r>
    <s v="GP"/>
    <s v="M"/>
    <n v="16"/>
    <s v="U"/>
    <s v="LE3"/>
    <s v="T"/>
    <n v="1"/>
    <n v="1"/>
    <s v="other"/>
    <s v="other"/>
    <s v="home"/>
    <s v="mother"/>
    <n v="2"/>
    <n v="2"/>
    <n v="0"/>
    <s v="no"/>
    <s v="yes"/>
    <s v="no"/>
    <s v="no"/>
    <s v="yes"/>
    <s v="yes"/>
    <s v="yes"/>
    <s v="no"/>
    <n v="3"/>
    <n v="4"/>
    <n v="2"/>
    <n v="1"/>
    <n v="1"/>
    <n v="5"/>
    <n v="2"/>
    <n v="9"/>
    <n v="9"/>
    <x v="9"/>
    <s v="Fail"/>
    <n v="0"/>
    <n v="0"/>
    <n v="0"/>
    <n v="40"/>
    <n v="0"/>
    <n v="8"/>
    <x v="0"/>
  </r>
  <r>
    <s v="GP"/>
    <s v="M"/>
    <n v="16"/>
    <s v="U"/>
    <s v="GT3"/>
    <s v="T"/>
    <n v="3"/>
    <n v="2"/>
    <s v="at_home"/>
    <s v="other"/>
    <s v="reputation"/>
    <s v="mother"/>
    <n v="2"/>
    <n v="3"/>
    <n v="0"/>
    <s v="no"/>
    <s v="no"/>
    <s v="no"/>
    <s v="yes"/>
    <s v="yes"/>
    <s v="yes"/>
    <s v="yes"/>
    <s v="yes"/>
    <n v="5"/>
    <n v="3"/>
    <n v="3"/>
    <n v="1"/>
    <n v="3"/>
    <n v="2"/>
    <n v="0"/>
    <n v="12"/>
    <n v="12"/>
    <x v="1"/>
    <s v="Pass"/>
    <n v="0"/>
    <n v="0"/>
    <n v="0"/>
    <n v="0"/>
    <n v="0"/>
    <n v="0"/>
    <x v="0"/>
  </r>
  <r>
    <s v="GP"/>
    <s v="M"/>
    <n v="17"/>
    <s v="U"/>
    <s v="LE3"/>
    <s v="T"/>
    <n v="2"/>
    <n v="2"/>
    <s v="other"/>
    <s v="other"/>
    <s v="home"/>
    <s v="father"/>
    <n v="1"/>
    <n v="2"/>
    <n v="0"/>
    <s v="no"/>
    <s v="no"/>
    <s v="no"/>
    <s v="yes"/>
    <s v="no"/>
    <s v="yes"/>
    <s v="yes"/>
    <s v="yes"/>
    <n v="4"/>
    <n v="4"/>
    <n v="2"/>
    <n v="5"/>
    <n v="5"/>
    <n v="4"/>
    <n v="0"/>
    <n v="16"/>
    <n v="16"/>
    <x v="8"/>
    <s v="Pass"/>
    <n v="0"/>
    <n v="0"/>
    <n v="0"/>
    <n v="40"/>
    <n v="0"/>
    <n v="8"/>
    <x v="0"/>
  </r>
  <r>
    <s v="GP"/>
    <s v="F"/>
    <n v="16"/>
    <s v="U"/>
    <s v="GT3"/>
    <s v="T"/>
    <n v="2"/>
    <n v="1"/>
    <s v="other"/>
    <s v="other"/>
    <s v="home"/>
    <s v="mother"/>
    <n v="1"/>
    <n v="1"/>
    <n v="0"/>
    <s v="no"/>
    <s v="no"/>
    <s v="no"/>
    <s v="no"/>
    <s v="yes"/>
    <s v="yes"/>
    <s v="yes"/>
    <s v="yes"/>
    <n v="4"/>
    <n v="5"/>
    <n v="2"/>
    <n v="1"/>
    <n v="1"/>
    <n v="5"/>
    <n v="4"/>
    <n v="9"/>
    <n v="10"/>
    <x v="7"/>
    <s v="Pass"/>
    <n v="0"/>
    <n v="0"/>
    <n v="0"/>
    <n v="70"/>
    <n v="0"/>
    <n v="14"/>
    <x v="0"/>
  </r>
  <r>
    <s v="GP"/>
    <s v="F"/>
    <n v="16"/>
    <s v="U"/>
    <s v="GT3"/>
    <s v="A"/>
    <n v="4"/>
    <n v="1"/>
    <s v="other"/>
    <s v="other"/>
    <s v="home"/>
    <s v="mother"/>
    <n v="1"/>
    <n v="2"/>
    <n v="0"/>
    <s v="no"/>
    <s v="no"/>
    <s v="no"/>
    <s v="yes"/>
    <s v="yes"/>
    <s v="yes"/>
    <s v="yes"/>
    <s v="yes"/>
    <n v="5"/>
    <n v="3"/>
    <n v="3"/>
    <n v="1"/>
    <n v="2"/>
    <n v="5"/>
    <n v="0"/>
    <n v="14"/>
    <n v="13"/>
    <x v="3"/>
    <s v="Pass"/>
    <n v="0"/>
    <n v="0"/>
    <n v="0"/>
    <n v="40"/>
    <n v="0"/>
    <n v="8"/>
    <x v="0"/>
  </r>
  <r>
    <s v="GP"/>
    <s v="F"/>
    <n v="18"/>
    <s v="U"/>
    <s v="LE3"/>
    <s v="A"/>
    <n v="2"/>
    <n v="4"/>
    <s v="services"/>
    <s v="other"/>
    <s v="course"/>
    <s v="mother"/>
    <n v="2"/>
    <n v="2"/>
    <n v="1"/>
    <s v="no"/>
    <s v="yes"/>
    <s v="no"/>
    <s v="no"/>
    <s v="yes"/>
    <s v="yes"/>
    <s v="yes"/>
    <s v="no"/>
    <n v="4"/>
    <n v="3"/>
    <n v="3"/>
    <n v="1"/>
    <n v="1"/>
    <n v="3"/>
    <n v="18"/>
    <n v="10"/>
    <n v="10"/>
    <x v="7"/>
    <s v="Pass"/>
    <n v="0"/>
    <n v="60"/>
    <n v="80"/>
    <n v="40"/>
    <n v="0"/>
    <n v="56"/>
    <x v="1"/>
  </r>
  <r>
    <s v="GP"/>
    <s v="F"/>
    <n v="18"/>
    <s v="U"/>
    <s v="LE3"/>
    <s v="T"/>
    <n v="2"/>
    <n v="2"/>
    <s v="at_home"/>
    <s v="services"/>
    <s v="course"/>
    <s v="mother"/>
    <n v="1"/>
    <n v="2"/>
    <n v="1"/>
    <s v="no"/>
    <s v="yes"/>
    <s v="no"/>
    <s v="no"/>
    <s v="no"/>
    <s v="yes"/>
    <s v="yes"/>
    <s v="yes"/>
    <n v="5"/>
    <n v="3"/>
    <n v="1"/>
    <n v="1"/>
    <n v="1"/>
    <n v="5"/>
    <n v="16"/>
    <n v="9"/>
    <n v="8"/>
    <x v="7"/>
    <s v="Pass"/>
    <n v="0"/>
    <n v="60"/>
    <n v="80"/>
    <n v="40"/>
    <n v="0"/>
    <n v="56"/>
    <x v="1"/>
  </r>
  <r>
    <s v="GP"/>
    <s v="F"/>
    <n v="18"/>
    <s v="U"/>
    <s v="GT3"/>
    <s v="T"/>
    <n v="3"/>
    <n v="3"/>
    <s v="other"/>
    <s v="other"/>
    <s v="course"/>
    <s v="mother"/>
    <n v="2"/>
    <n v="1"/>
    <n v="1"/>
    <s v="no"/>
    <s v="no"/>
    <s v="no"/>
    <s v="no"/>
    <s v="yes"/>
    <s v="no"/>
    <s v="yes"/>
    <s v="no"/>
    <n v="4"/>
    <n v="1"/>
    <n v="1"/>
    <n v="1"/>
    <n v="1"/>
    <n v="3"/>
    <n v="14"/>
    <n v="8"/>
    <n v="7"/>
    <x v="6"/>
    <s v="Fail"/>
    <n v="0"/>
    <n v="60"/>
    <n v="50"/>
    <n v="70"/>
    <n v="0"/>
    <n v="53"/>
    <x v="1"/>
  </r>
  <r>
    <s v="GP"/>
    <s v="M"/>
    <n v="18"/>
    <s v="U"/>
    <s v="GT3"/>
    <s v="T"/>
    <n v="2"/>
    <n v="2"/>
    <s v="other"/>
    <s v="at_home"/>
    <s v="course"/>
    <s v="other"/>
    <n v="1"/>
    <n v="1"/>
    <n v="1"/>
    <s v="no"/>
    <s v="yes"/>
    <s v="no"/>
    <s v="yes"/>
    <s v="no"/>
    <s v="no"/>
    <s v="yes"/>
    <s v="yes"/>
    <n v="4"/>
    <n v="4"/>
    <n v="3"/>
    <n v="2"/>
    <n v="2"/>
    <n v="1"/>
    <n v="26"/>
    <n v="7"/>
    <n v="8"/>
    <x v="10"/>
    <s v="Fail"/>
    <n v="0"/>
    <n v="60"/>
    <n v="80"/>
    <n v="70"/>
    <n v="0"/>
    <n v="62"/>
    <x v="2"/>
  </r>
  <r>
    <s v="GP"/>
    <s v="M"/>
    <n v="17"/>
    <s v="U"/>
    <s v="GT3"/>
    <s v="T"/>
    <n v="4"/>
    <n v="4"/>
    <s v="teacher"/>
    <s v="teacher"/>
    <s v="course"/>
    <s v="mother"/>
    <n v="1"/>
    <n v="1"/>
    <n v="0"/>
    <s v="no"/>
    <s v="yes"/>
    <s v="no"/>
    <s v="yes"/>
    <s v="no"/>
    <s v="yes"/>
    <s v="yes"/>
    <s v="no"/>
    <n v="4"/>
    <n v="2"/>
    <n v="1"/>
    <n v="1"/>
    <n v="2"/>
    <n v="5"/>
    <n v="6"/>
    <n v="10"/>
    <n v="8"/>
    <x v="9"/>
    <s v="Fail"/>
    <n v="0"/>
    <n v="0"/>
    <n v="0"/>
    <n v="70"/>
    <n v="0"/>
    <n v="14"/>
    <x v="0"/>
  </r>
  <r>
    <s v="GP"/>
    <s v="F"/>
    <n v="17"/>
    <s v="U"/>
    <s v="GT3"/>
    <s v="T"/>
    <n v="3"/>
    <n v="2"/>
    <s v="other"/>
    <s v="other"/>
    <s v="course"/>
    <s v="father"/>
    <n v="1"/>
    <n v="2"/>
    <n v="0"/>
    <s v="no"/>
    <s v="no"/>
    <s v="no"/>
    <s v="yes"/>
    <s v="yes"/>
    <s v="yes"/>
    <s v="no"/>
    <s v="no"/>
    <n v="5"/>
    <n v="4"/>
    <n v="2"/>
    <n v="1"/>
    <n v="1"/>
    <n v="3"/>
    <n v="4"/>
    <n v="14"/>
    <n v="14"/>
    <x v="5"/>
    <s v="Pass"/>
    <n v="0"/>
    <n v="0"/>
    <n v="0"/>
    <n v="40"/>
    <n v="0"/>
    <n v="8"/>
    <x v="0"/>
  </r>
  <r>
    <s v="GP"/>
    <s v="F"/>
    <n v="17"/>
    <s v="U"/>
    <s v="LE3"/>
    <s v="T"/>
    <n v="1"/>
    <n v="1"/>
    <s v="at_home"/>
    <s v="at_home"/>
    <s v="course"/>
    <s v="mother"/>
    <n v="1"/>
    <n v="3"/>
    <n v="0"/>
    <s v="no"/>
    <s v="yes"/>
    <s v="no"/>
    <s v="yes"/>
    <s v="yes"/>
    <s v="yes"/>
    <s v="yes"/>
    <s v="yes"/>
    <n v="4"/>
    <n v="3"/>
    <n v="2"/>
    <n v="1"/>
    <n v="2"/>
    <n v="4"/>
    <n v="10"/>
    <n v="11"/>
    <n v="10"/>
    <x v="7"/>
    <s v="Pass"/>
    <n v="0"/>
    <n v="0"/>
    <n v="0"/>
    <n v="0"/>
    <n v="0"/>
    <n v="0"/>
    <x v="0"/>
  </r>
  <r>
    <s v="GP"/>
    <s v="F"/>
    <n v="16"/>
    <s v="U"/>
    <s v="GT3"/>
    <s v="T"/>
    <n v="1"/>
    <n v="2"/>
    <s v="other"/>
    <s v="other"/>
    <s v="course"/>
    <s v="mother"/>
    <n v="1"/>
    <n v="1"/>
    <n v="0"/>
    <s v="no"/>
    <s v="no"/>
    <s v="no"/>
    <s v="no"/>
    <s v="yes"/>
    <s v="no"/>
    <s v="yes"/>
    <s v="no"/>
    <n v="5"/>
    <n v="3"/>
    <n v="5"/>
    <n v="1"/>
    <n v="2"/>
    <n v="5"/>
    <n v="4"/>
    <n v="12"/>
    <n v="11"/>
    <x v="0"/>
    <s v="Pass"/>
    <n v="0"/>
    <n v="0"/>
    <n v="0"/>
    <n v="70"/>
    <n v="0"/>
    <n v="14"/>
    <x v="0"/>
  </r>
  <r>
    <s v="GP"/>
    <s v="F"/>
    <n v="17"/>
    <s v="R"/>
    <s v="GT3"/>
    <s v="T"/>
    <n v="2"/>
    <n v="1"/>
    <s v="at_home"/>
    <s v="services"/>
    <s v="course"/>
    <s v="mother"/>
    <n v="3"/>
    <n v="2"/>
    <n v="0"/>
    <s v="no"/>
    <s v="no"/>
    <s v="no"/>
    <s v="yes"/>
    <s v="yes"/>
    <s v="yes"/>
    <s v="no"/>
    <s v="no"/>
    <n v="2"/>
    <n v="1"/>
    <n v="1"/>
    <n v="1"/>
    <n v="1"/>
    <n v="3"/>
    <n v="2"/>
    <n v="13"/>
    <n v="13"/>
    <x v="3"/>
    <s v="Pass"/>
    <n v="0"/>
    <n v="0"/>
    <n v="0"/>
    <n v="40"/>
    <n v="0"/>
    <n v="8"/>
    <x v="0"/>
  </r>
  <r>
    <s v="GP"/>
    <s v="F"/>
    <n v="17"/>
    <s v="R"/>
    <s v="LE3"/>
    <s v="A"/>
    <n v="1"/>
    <n v="4"/>
    <s v="other"/>
    <s v="other"/>
    <s v="course"/>
    <s v="other"/>
    <n v="4"/>
    <n v="1"/>
    <n v="1"/>
    <s v="no"/>
    <s v="yes"/>
    <s v="no"/>
    <s v="no"/>
    <s v="yes"/>
    <s v="yes"/>
    <s v="yes"/>
    <s v="no"/>
    <n v="5"/>
    <n v="5"/>
    <n v="4"/>
    <n v="1"/>
    <n v="1"/>
    <n v="5"/>
    <n v="14"/>
    <n v="9"/>
    <n v="9"/>
    <x v="10"/>
    <s v="Fail"/>
    <n v="1"/>
    <n v="60"/>
    <n v="50"/>
    <n v="70"/>
    <n v="50"/>
    <n v="58"/>
    <x v="1"/>
  </r>
  <r>
    <s v="GP"/>
    <s v="M"/>
    <n v="18"/>
    <s v="U"/>
    <s v="GT3"/>
    <s v="T"/>
    <n v="2"/>
    <n v="2"/>
    <s v="other"/>
    <s v="services"/>
    <s v="reputation"/>
    <s v="father"/>
    <n v="1"/>
    <n v="2"/>
    <n v="0"/>
    <s v="no"/>
    <s v="no"/>
    <s v="no"/>
    <s v="no"/>
    <s v="yes"/>
    <s v="no"/>
    <s v="yes"/>
    <s v="no"/>
    <n v="5"/>
    <n v="5"/>
    <n v="4"/>
    <n v="3"/>
    <n v="5"/>
    <n v="2"/>
    <n v="16"/>
    <n v="8"/>
    <n v="7"/>
    <x v="10"/>
    <s v="Fail"/>
    <n v="0"/>
    <n v="0"/>
    <n v="80"/>
    <n v="40"/>
    <n v="0"/>
    <n v="32"/>
    <x v="1"/>
  </r>
  <r>
    <s v="GP"/>
    <s v="F"/>
    <n v="17"/>
    <s v="U"/>
    <s v="LE3"/>
    <s v="A"/>
    <n v="2"/>
    <n v="2"/>
    <s v="other"/>
    <s v="other"/>
    <s v="home"/>
    <s v="mother"/>
    <n v="1"/>
    <n v="1"/>
    <n v="1"/>
    <s v="no"/>
    <s v="yes"/>
    <s v="no"/>
    <s v="no"/>
    <s v="no"/>
    <s v="no"/>
    <s v="yes"/>
    <s v="no"/>
    <n v="3"/>
    <n v="1"/>
    <n v="2"/>
    <n v="1"/>
    <n v="1"/>
    <n v="1"/>
    <n v="8"/>
    <n v="11"/>
    <n v="9"/>
    <x v="7"/>
    <s v="Pass"/>
    <n v="0"/>
    <n v="60"/>
    <n v="0"/>
    <n v="70"/>
    <n v="0"/>
    <n v="38"/>
    <x v="1"/>
  </r>
  <r>
    <s v="GP"/>
    <s v="F"/>
    <n v="17"/>
    <s v="R"/>
    <s v="LE3"/>
    <s v="T"/>
    <n v="1"/>
    <n v="1"/>
    <s v="at_home"/>
    <s v="other"/>
    <s v="course"/>
    <s v="mother"/>
    <n v="2"/>
    <n v="3"/>
    <n v="0"/>
    <s v="no"/>
    <s v="no"/>
    <s v="no"/>
    <s v="yes"/>
    <s v="yes"/>
    <s v="yes"/>
    <s v="yes"/>
    <s v="no"/>
    <n v="4"/>
    <n v="3"/>
    <n v="3"/>
    <n v="1"/>
    <n v="3"/>
    <n v="5"/>
    <n v="4"/>
    <n v="15"/>
    <n v="14"/>
    <x v="5"/>
    <s v="Pass"/>
    <n v="0"/>
    <n v="0"/>
    <n v="0"/>
    <n v="0"/>
    <n v="0"/>
    <n v="0"/>
    <x v="0"/>
  </r>
  <r>
    <s v="GP"/>
    <s v="F"/>
    <n v="17"/>
    <s v="U"/>
    <s v="LE3"/>
    <s v="A"/>
    <n v="4"/>
    <n v="2"/>
    <s v="teacher"/>
    <s v="other"/>
    <s v="course"/>
    <s v="mother"/>
    <n v="1"/>
    <n v="2"/>
    <n v="0"/>
    <s v="no"/>
    <s v="yes"/>
    <s v="no"/>
    <s v="yes"/>
    <s v="yes"/>
    <s v="yes"/>
    <s v="no"/>
    <s v="no"/>
    <n v="4"/>
    <n v="3"/>
    <n v="2"/>
    <n v="1"/>
    <n v="1"/>
    <n v="4"/>
    <n v="4"/>
    <n v="15"/>
    <n v="14"/>
    <x v="2"/>
    <s v="Pass"/>
    <n v="0"/>
    <n v="0"/>
    <n v="0"/>
    <n v="40"/>
    <n v="0"/>
    <n v="8"/>
    <x v="0"/>
  </r>
  <r>
    <s v="GP"/>
    <s v="M"/>
    <n v="17"/>
    <s v="U"/>
    <s v="LE3"/>
    <s v="T"/>
    <n v="4"/>
    <n v="3"/>
    <s v="health"/>
    <s v="other"/>
    <s v="course"/>
    <s v="mother"/>
    <n v="2"/>
    <n v="2"/>
    <n v="0"/>
    <s v="no"/>
    <s v="no"/>
    <s v="no"/>
    <s v="yes"/>
    <s v="yes"/>
    <s v="yes"/>
    <s v="yes"/>
    <s v="yes"/>
    <n v="2"/>
    <n v="5"/>
    <n v="5"/>
    <n v="1"/>
    <n v="4"/>
    <n v="5"/>
    <n v="8"/>
    <n v="15"/>
    <n v="15"/>
    <x v="5"/>
    <s v="Pass"/>
    <n v="0"/>
    <n v="0"/>
    <n v="0"/>
    <n v="40"/>
    <n v="0"/>
    <n v="8"/>
    <x v="0"/>
  </r>
  <r>
    <s v="GP"/>
    <s v="M"/>
    <n v="17"/>
    <s v="R"/>
    <s v="LE3"/>
    <s v="A"/>
    <n v="4"/>
    <n v="4"/>
    <s v="teacher"/>
    <s v="other"/>
    <s v="course"/>
    <s v="mother"/>
    <n v="2"/>
    <n v="2"/>
    <n v="0"/>
    <s v="no"/>
    <s v="yes"/>
    <s v="no"/>
    <s v="no"/>
    <s v="yes"/>
    <s v="yes"/>
    <s v="yes"/>
    <s v="no"/>
    <n v="3"/>
    <n v="3"/>
    <n v="3"/>
    <n v="2"/>
    <n v="3"/>
    <n v="4"/>
    <n v="0"/>
    <n v="12"/>
    <n v="12"/>
    <x v="1"/>
    <s v="Pass"/>
    <n v="0"/>
    <n v="0"/>
    <n v="0"/>
    <n v="40"/>
    <n v="0"/>
    <n v="8"/>
    <x v="0"/>
  </r>
  <r>
    <s v="GP"/>
    <s v="M"/>
    <n v="16"/>
    <s v="U"/>
    <s v="LE3"/>
    <s v="T"/>
    <n v="4"/>
    <n v="3"/>
    <s v="teacher"/>
    <s v="other"/>
    <s v="course"/>
    <s v="mother"/>
    <n v="1"/>
    <n v="1"/>
    <n v="0"/>
    <s v="no"/>
    <s v="no"/>
    <s v="no"/>
    <s v="yes"/>
    <s v="no"/>
    <s v="yes"/>
    <s v="yes"/>
    <s v="no"/>
    <n v="5"/>
    <n v="4"/>
    <n v="5"/>
    <n v="1"/>
    <n v="1"/>
    <n v="3"/>
    <n v="7"/>
    <n v="14"/>
    <n v="14"/>
    <x v="5"/>
    <s v="Pass"/>
    <n v="0"/>
    <n v="0"/>
    <n v="0"/>
    <n v="70"/>
    <n v="0"/>
    <n v="14"/>
    <x v="0"/>
  </r>
  <r>
    <s v="GP"/>
    <s v="M"/>
    <n v="16"/>
    <s v="U"/>
    <s v="GT3"/>
    <s v="T"/>
    <n v="4"/>
    <n v="4"/>
    <s v="services"/>
    <s v="services"/>
    <s v="course"/>
    <s v="mother"/>
    <n v="1"/>
    <n v="1"/>
    <n v="0"/>
    <s v="no"/>
    <s v="no"/>
    <s v="yes"/>
    <s v="yes"/>
    <s v="yes"/>
    <s v="yes"/>
    <s v="yes"/>
    <s v="no"/>
    <n v="5"/>
    <n v="3"/>
    <n v="2"/>
    <n v="1"/>
    <n v="2"/>
    <n v="5"/>
    <n v="4"/>
    <n v="14"/>
    <n v="15"/>
    <x v="5"/>
    <s v="Pass"/>
    <n v="0"/>
    <n v="0"/>
    <n v="0"/>
    <n v="70"/>
    <n v="0"/>
    <n v="14"/>
    <x v="0"/>
  </r>
  <r>
    <s v="GP"/>
    <s v="F"/>
    <n v="17"/>
    <s v="U"/>
    <s v="GT3"/>
    <s v="T"/>
    <n v="4"/>
    <n v="4"/>
    <s v="teacher"/>
    <s v="services"/>
    <s v="course"/>
    <s v="mother"/>
    <n v="1"/>
    <n v="2"/>
    <n v="0"/>
    <s v="no"/>
    <s v="yes"/>
    <s v="yes"/>
    <s v="no"/>
    <s v="yes"/>
    <s v="yes"/>
    <s v="yes"/>
    <s v="yes"/>
    <n v="5"/>
    <n v="3"/>
    <n v="1"/>
    <n v="1"/>
    <n v="4"/>
    <n v="5"/>
    <n v="2"/>
    <n v="11"/>
    <n v="11"/>
    <x v="1"/>
    <s v="Pass"/>
    <n v="0"/>
    <n v="0"/>
    <n v="0"/>
    <n v="40"/>
    <n v="0"/>
    <n v="8"/>
    <x v="0"/>
  </r>
  <r>
    <s v="GP"/>
    <s v="M"/>
    <n v="17"/>
    <s v="R"/>
    <s v="GT3"/>
    <s v="T"/>
    <n v="1"/>
    <n v="1"/>
    <s v="other"/>
    <s v="other"/>
    <s v="home"/>
    <s v="father"/>
    <n v="2"/>
    <n v="3"/>
    <n v="0"/>
    <s v="no"/>
    <s v="no"/>
    <s v="no"/>
    <s v="no"/>
    <s v="no"/>
    <s v="yes"/>
    <s v="yes"/>
    <s v="yes"/>
    <n v="4"/>
    <n v="3"/>
    <n v="3"/>
    <n v="1"/>
    <n v="1"/>
    <n v="1"/>
    <n v="2"/>
    <n v="13"/>
    <n v="14"/>
    <x v="5"/>
    <s v="Pass"/>
    <n v="0"/>
    <n v="0"/>
    <n v="0"/>
    <n v="0"/>
    <n v="0"/>
    <n v="0"/>
    <x v="0"/>
  </r>
  <r>
    <s v="GP"/>
    <s v="F"/>
    <n v="17"/>
    <s v="U"/>
    <s v="GT3"/>
    <s v="T"/>
    <n v="3"/>
    <n v="3"/>
    <s v="services"/>
    <s v="other"/>
    <s v="home"/>
    <s v="mother"/>
    <n v="2"/>
    <n v="3"/>
    <n v="0"/>
    <s v="no"/>
    <s v="yes"/>
    <s v="no"/>
    <s v="no"/>
    <s v="yes"/>
    <s v="yes"/>
    <s v="yes"/>
    <s v="yes"/>
    <n v="4"/>
    <n v="2"/>
    <n v="2"/>
    <n v="2"/>
    <n v="3"/>
    <n v="5"/>
    <n v="10"/>
    <n v="11"/>
    <n v="11"/>
    <x v="0"/>
    <s v="Pass"/>
    <n v="0"/>
    <n v="0"/>
    <n v="0"/>
    <n v="0"/>
    <n v="0"/>
    <n v="0"/>
    <x v="0"/>
  </r>
  <r>
    <s v="GP"/>
    <s v="F"/>
    <n v="17"/>
    <s v="U"/>
    <s v="GT3"/>
    <s v="T"/>
    <n v="1"/>
    <n v="1"/>
    <s v="at_home"/>
    <s v="other"/>
    <s v="course"/>
    <s v="mother"/>
    <n v="1"/>
    <n v="2"/>
    <n v="0"/>
    <s v="yes"/>
    <s v="no"/>
    <s v="no"/>
    <s v="no"/>
    <s v="no"/>
    <s v="yes"/>
    <s v="no"/>
    <s v="yes"/>
    <n v="4"/>
    <n v="3"/>
    <n v="2"/>
    <n v="1"/>
    <n v="1"/>
    <n v="4"/>
    <n v="10"/>
    <n v="10"/>
    <n v="9"/>
    <x v="7"/>
    <s v="Pass"/>
    <n v="0"/>
    <n v="0"/>
    <n v="0"/>
    <n v="40"/>
    <n v="0"/>
    <n v="8"/>
    <x v="0"/>
  </r>
  <r>
    <s v="GP"/>
    <s v="F"/>
    <n v="18"/>
    <s v="U"/>
    <s v="GT3"/>
    <s v="T"/>
    <n v="2"/>
    <n v="1"/>
    <s v="other"/>
    <s v="other"/>
    <s v="course"/>
    <s v="other"/>
    <n v="2"/>
    <n v="3"/>
    <n v="0"/>
    <s v="no"/>
    <s v="yes"/>
    <s v="no"/>
    <s v="no"/>
    <s v="no"/>
    <s v="yes"/>
    <s v="yes"/>
    <s v="yes"/>
    <n v="4"/>
    <n v="4"/>
    <n v="4"/>
    <n v="1"/>
    <n v="1"/>
    <n v="3"/>
    <n v="10"/>
    <n v="12"/>
    <n v="10"/>
    <x v="0"/>
    <s v="Pass"/>
    <n v="0"/>
    <n v="0"/>
    <n v="0"/>
    <n v="0"/>
    <n v="0"/>
    <n v="0"/>
    <x v="0"/>
  </r>
  <r>
    <s v="GP"/>
    <s v="M"/>
    <n v="16"/>
    <s v="U"/>
    <s v="GT3"/>
    <s v="T"/>
    <n v="2"/>
    <n v="1"/>
    <s v="other"/>
    <s v="other"/>
    <s v="course"/>
    <s v="mother"/>
    <n v="3"/>
    <n v="1"/>
    <n v="0"/>
    <s v="no"/>
    <s v="no"/>
    <s v="no"/>
    <s v="no"/>
    <s v="yes"/>
    <s v="yes"/>
    <s v="yes"/>
    <s v="no"/>
    <n v="4"/>
    <n v="3"/>
    <n v="3"/>
    <n v="1"/>
    <n v="1"/>
    <n v="4"/>
    <n v="7"/>
    <n v="15"/>
    <n v="16"/>
    <x v="8"/>
    <s v="Pass"/>
    <n v="0"/>
    <n v="0"/>
    <n v="0"/>
    <n v="70"/>
    <n v="0"/>
    <n v="14"/>
    <x v="0"/>
  </r>
  <r>
    <s v="GP"/>
    <s v="F"/>
    <n v="17"/>
    <s v="U"/>
    <s v="GT3"/>
    <s v="T"/>
    <n v="1"/>
    <n v="1"/>
    <s v="other"/>
    <s v="services"/>
    <s v="course"/>
    <s v="father"/>
    <n v="1"/>
    <n v="2"/>
    <n v="0"/>
    <s v="no"/>
    <s v="yes"/>
    <s v="no"/>
    <s v="no"/>
    <s v="yes"/>
    <s v="yes"/>
    <s v="no"/>
    <s v="no"/>
    <n v="4"/>
    <n v="3"/>
    <n v="4"/>
    <n v="1"/>
    <n v="2"/>
    <n v="5"/>
    <n v="4"/>
    <n v="11"/>
    <n v="10"/>
    <x v="0"/>
    <s v="Pass"/>
    <n v="0"/>
    <n v="0"/>
    <n v="0"/>
    <n v="40"/>
    <n v="0"/>
    <n v="8"/>
    <x v="0"/>
  </r>
  <r>
    <s v="GP"/>
    <s v="M"/>
    <n v="17"/>
    <s v="U"/>
    <s v="GT3"/>
    <s v="T"/>
    <n v="2"/>
    <n v="3"/>
    <s v="other"/>
    <s v="other"/>
    <s v="course"/>
    <s v="father"/>
    <n v="2"/>
    <n v="1"/>
    <n v="0"/>
    <s v="no"/>
    <s v="no"/>
    <s v="no"/>
    <s v="no"/>
    <s v="yes"/>
    <s v="yes"/>
    <s v="yes"/>
    <s v="no"/>
    <n v="5"/>
    <n v="2"/>
    <n v="2"/>
    <n v="1"/>
    <n v="1"/>
    <n v="2"/>
    <n v="2"/>
    <n v="9"/>
    <n v="12"/>
    <x v="3"/>
    <s v="Pass"/>
    <n v="0"/>
    <n v="0"/>
    <n v="0"/>
    <n v="70"/>
    <n v="0"/>
    <n v="14"/>
    <x v="0"/>
  </r>
  <r>
    <s v="GP"/>
    <s v="M"/>
    <n v="22"/>
    <s v="U"/>
    <s v="GT3"/>
    <s v="T"/>
    <n v="3"/>
    <n v="1"/>
    <s v="services"/>
    <s v="services"/>
    <s v="other"/>
    <s v="mother"/>
    <n v="1"/>
    <n v="1"/>
    <n v="3"/>
    <s v="no"/>
    <s v="no"/>
    <s v="no"/>
    <s v="no"/>
    <s v="no"/>
    <s v="no"/>
    <s v="yes"/>
    <s v="yes"/>
    <n v="5"/>
    <n v="4"/>
    <n v="5"/>
    <n v="5"/>
    <n v="5"/>
    <n v="1"/>
    <n v="12"/>
    <n v="7"/>
    <n v="8"/>
    <x v="15"/>
    <s v="Fail"/>
    <n v="1"/>
    <n v="100"/>
    <n v="50"/>
    <n v="70"/>
    <n v="50"/>
    <n v="74"/>
    <x v="2"/>
  </r>
  <r>
    <s v="GP"/>
    <s v="M"/>
    <n v="18"/>
    <s v="R"/>
    <s v="LE3"/>
    <s v="T"/>
    <n v="3"/>
    <n v="3"/>
    <s v="other"/>
    <s v="services"/>
    <s v="course"/>
    <s v="mother"/>
    <n v="1"/>
    <n v="2"/>
    <n v="0"/>
    <s v="no"/>
    <s v="yes"/>
    <s v="no"/>
    <s v="no"/>
    <s v="yes"/>
    <s v="yes"/>
    <s v="yes"/>
    <s v="yes"/>
    <n v="4"/>
    <n v="3"/>
    <n v="3"/>
    <n v="1"/>
    <n v="3"/>
    <n v="5"/>
    <n v="8"/>
    <n v="10"/>
    <n v="9"/>
    <x v="7"/>
    <s v="Pass"/>
    <n v="0"/>
    <n v="0"/>
    <n v="0"/>
    <n v="40"/>
    <n v="0"/>
    <n v="8"/>
    <x v="0"/>
  </r>
  <r>
    <s v="GP"/>
    <s v="M"/>
    <n v="16"/>
    <s v="U"/>
    <s v="GT3"/>
    <s v="T"/>
    <n v="0"/>
    <n v="2"/>
    <s v="other"/>
    <s v="other"/>
    <s v="other"/>
    <s v="mother"/>
    <n v="1"/>
    <n v="1"/>
    <n v="0"/>
    <s v="no"/>
    <s v="no"/>
    <s v="no"/>
    <s v="no"/>
    <s v="no"/>
    <s v="yes"/>
    <s v="yes"/>
    <s v="no"/>
    <n v="4"/>
    <n v="3"/>
    <n v="2"/>
    <n v="2"/>
    <n v="4"/>
    <n v="5"/>
    <n v="0"/>
    <n v="11"/>
    <n v="12"/>
    <x v="0"/>
    <s v="Pass"/>
    <n v="1"/>
    <n v="0"/>
    <n v="0"/>
    <n v="70"/>
    <n v="50"/>
    <n v="19"/>
    <x v="0"/>
  </r>
  <r>
    <s v="GP"/>
    <s v="M"/>
    <n v="18"/>
    <s v="U"/>
    <s v="GT3"/>
    <s v="T"/>
    <n v="3"/>
    <n v="2"/>
    <s v="services"/>
    <s v="other"/>
    <s v="course"/>
    <s v="mother"/>
    <n v="2"/>
    <n v="1"/>
    <n v="0"/>
    <s v="no"/>
    <s v="no"/>
    <s v="no"/>
    <s v="no"/>
    <s v="yes"/>
    <s v="no"/>
    <s v="yes"/>
    <s v="no"/>
    <n v="4"/>
    <n v="4"/>
    <n v="5"/>
    <n v="2"/>
    <n v="4"/>
    <n v="5"/>
    <n v="8"/>
    <n v="7"/>
    <n v="8"/>
    <x v="6"/>
    <s v="Fail"/>
    <n v="1"/>
    <n v="0"/>
    <n v="0"/>
    <n v="70"/>
    <n v="50"/>
    <n v="19"/>
    <x v="0"/>
  </r>
  <r>
    <s v="GP"/>
    <s v="M"/>
    <n v="16"/>
    <s v="U"/>
    <s v="GT3"/>
    <s v="T"/>
    <n v="3"/>
    <n v="3"/>
    <s v="at_home"/>
    <s v="other"/>
    <s v="reputation"/>
    <s v="other"/>
    <n v="3"/>
    <n v="2"/>
    <n v="1"/>
    <s v="yes"/>
    <s v="yes"/>
    <s v="no"/>
    <s v="no"/>
    <s v="no"/>
    <s v="yes"/>
    <s v="yes"/>
    <s v="no"/>
    <n v="5"/>
    <n v="3"/>
    <n v="3"/>
    <n v="1"/>
    <n v="3"/>
    <n v="2"/>
    <n v="4"/>
    <n v="9"/>
    <n v="11"/>
    <x v="7"/>
    <s v="Pass"/>
    <n v="1"/>
    <n v="60"/>
    <n v="0"/>
    <n v="40"/>
    <n v="50"/>
    <n v="37"/>
    <x v="1"/>
  </r>
  <r>
    <s v="GP"/>
    <s v="M"/>
    <n v="18"/>
    <s v="U"/>
    <s v="GT3"/>
    <s v="T"/>
    <n v="2"/>
    <n v="1"/>
    <s v="services"/>
    <s v="services"/>
    <s v="other"/>
    <s v="mother"/>
    <n v="1"/>
    <n v="1"/>
    <n v="2"/>
    <s v="no"/>
    <s v="no"/>
    <s v="no"/>
    <s v="no"/>
    <s v="no"/>
    <s v="no"/>
    <s v="yes"/>
    <s v="no"/>
    <n v="3"/>
    <n v="2"/>
    <n v="5"/>
    <n v="2"/>
    <n v="5"/>
    <n v="5"/>
    <n v="4"/>
    <n v="7"/>
    <n v="8"/>
    <x v="12"/>
    <s v="Fail"/>
    <n v="1"/>
    <n v="100"/>
    <n v="0"/>
    <n v="70"/>
    <n v="50"/>
    <n v="59"/>
    <x v="1"/>
  </r>
  <r>
    <s v="GP"/>
    <s v="M"/>
    <n v="16"/>
    <s v="R"/>
    <s v="GT3"/>
    <s v="T"/>
    <n v="2"/>
    <n v="1"/>
    <s v="other"/>
    <s v="other"/>
    <s v="course"/>
    <s v="mother"/>
    <n v="2"/>
    <n v="1"/>
    <n v="0"/>
    <s v="no"/>
    <s v="no"/>
    <s v="no"/>
    <s v="yes"/>
    <s v="no"/>
    <s v="yes"/>
    <s v="no"/>
    <s v="no"/>
    <n v="3"/>
    <n v="3"/>
    <n v="2"/>
    <n v="1"/>
    <n v="3"/>
    <n v="3"/>
    <n v="2"/>
    <n v="14"/>
    <n v="13"/>
    <x v="1"/>
    <s v="Pass"/>
    <n v="1"/>
    <n v="0"/>
    <n v="0"/>
    <n v="70"/>
    <n v="50"/>
    <n v="19"/>
    <x v="0"/>
  </r>
  <r>
    <s v="GP"/>
    <s v="M"/>
    <n v="17"/>
    <s v="R"/>
    <s v="GT3"/>
    <s v="T"/>
    <n v="2"/>
    <n v="1"/>
    <s v="other"/>
    <s v="other"/>
    <s v="course"/>
    <s v="mother"/>
    <n v="1"/>
    <n v="1"/>
    <n v="0"/>
    <s v="no"/>
    <s v="no"/>
    <s v="no"/>
    <s v="no"/>
    <s v="no"/>
    <s v="yes"/>
    <s v="yes"/>
    <s v="no"/>
    <n v="4"/>
    <n v="4"/>
    <n v="2"/>
    <n v="2"/>
    <n v="4"/>
    <n v="5"/>
    <n v="0"/>
    <n v="12"/>
    <n v="12"/>
    <x v="3"/>
    <s v="Pass"/>
    <n v="0"/>
    <n v="0"/>
    <n v="0"/>
    <n v="70"/>
    <n v="0"/>
    <n v="14"/>
    <x v="0"/>
  </r>
  <r>
    <s v="GP"/>
    <s v="M"/>
    <n v="17"/>
    <s v="U"/>
    <s v="LE3"/>
    <s v="T"/>
    <n v="1"/>
    <n v="1"/>
    <s v="health"/>
    <s v="other"/>
    <s v="course"/>
    <s v="mother"/>
    <n v="2"/>
    <n v="1"/>
    <n v="1"/>
    <s v="no"/>
    <s v="yes"/>
    <s v="no"/>
    <s v="yes"/>
    <s v="yes"/>
    <s v="yes"/>
    <s v="yes"/>
    <s v="no"/>
    <n v="4"/>
    <n v="4"/>
    <n v="4"/>
    <n v="1"/>
    <n v="2"/>
    <n v="5"/>
    <n v="0"/>
    <n v="9"/>
    <n v="10"/>
    <x v="7"/>
    <s v="Pass"/>
    <n v="0"/>
    <n v="60"/>
    <n v="0"/>
    <n v="70"/>
    <n v="0"/>
    <n v="38"/>
    <x v="1"/>
  </r>
  <r>
    <s v="GP"/>
    <s v="F"/>
    <n v="18"/>
    <s v="U"/>
    <s v="LE3"/>
    <s v="A"/>
    <n v="2"/>
    <n v="1"/>
    <s v="other"/>
    <s v="other"/>
    <s v="course"/>
    <s v="mother"/>
    <n v="1"/>
    <n v="2"/>
    <n v="0"/>
    <s v="no"/>
    <s v="yes"/>
    <s v="no"/>
    <s v="no"/>
    <s v="no"/>
    <s v="yes"/>
    <s v="yes"/>
    <s v="yes"/>
    <n v="4"/>
    <n v="3"/>
    <n v="4"/>
    <n v="1"/>
    <n v="3"/>
    <n v="5"/>
    <n v="2"/>
    <n v="12"/>
    <n v="12"/>
    <x v="3"/>
    <s v="Pass"/>
    <n v="0"/>
    <n v="0"/>
    <n v="0"/>
    <n v="40"/>
    <n v="0"/>
    <n v="8"/>
    <x v="0"/>
  </r>
  <r>
    <s v="GP"/>
    <s v="F"/>
    <n v="17"/>
    <s v="U"/>
    <s v="LE3"/>
    <s v="T"/>
    <n v="4"/>
    <n v="2"/>
    <s v="teacher"/>
    <s v="services"/>
    <s v="reputation"/>
    <s v="mother"/>
    <n v="1"/>
    <n v="4"/>
    <n v="0"/>
    <s v="no"/>
    <s v="yes"/>
    <s v="no"/>
    <s v="yes"/>
    <s v="yes"/>
    <s v="yes"/>
    <s v="yes"/>
    <s v="no"/>
    <n v="4"/>
    <n v="2"/>
    <n v="3"/>
    <n v="1"/>
    <n v="1"/>
    <n v="4"/>
    <n v="2"/>
    <n v="14"/>
    <n v="15"/>
    <x v="4"/>
    <s v="Pass"/>
    <n v="0"/>
    <n v="0"/>
    <n v="0"/>
    <n v="0"/>
    <n v="0"/>
    <n v="0"/>
    <x v="0"/>
  </r>
  <r>
    <s v="GP"/>
    <s v="F"/>
    <n v="19"/>
    <s v="U"/>
    <s v="GT3"/>
    <s v="T"/>
    <n v="2"/>
    <n v="2"/>
    <s v="services"/>
    <s v="services"/>
    <s v="home"/>
    <s v="mother"/>
    <n v="1"/>
    <n v="2"/>
    <n v="0"/>
    <s v="no"/>
    <s v="yes"/>
    <s v="no"/>
    <s v="no"/>
    <s v="yes"/>
    <s v="yes"/>
    <s v="yes"/>
    <s v="no"/>
    <n v="4"/>
    <n v="3"/>
    <n v="3"/>
    <n v="1"/>
    <n v="1"/>
    <n v="5"/>
    <n v="0"/>
    <n v="10"/>
    <n v="10"/>
    <x v="0"/>
    <s v="Pass"/>
    <n v="0"/>
    <n v="0"/>
    <n v="0"/>
    <n v="40"/>
    <n v="0"/>
    <n v="8"/>
    <x v="0"/>
  </r>
  <r>
    <s v="GP"/>
    <s v="M"/>
    <n v="18"/>
    <s v="U"/>
    <s v="LE3"/>
    <s v="T"/>
    <n v="2"/>
    <n v="1"/>
    <s v="services"/>
    <s v="other"/>
    <s v="course"/>
    <s v="mother"/>
    <n v="3"/>
    <n v="2"/>
    <n v="1"/>
    <s v="no"/>
    <s v="no"/>
    <s v="no"/>
    <s v="yes"/>
    <s v="no"/>
    <s v="no"/>
    <s v="yes"/>
    <s v="no"/>
    <n v="4"/>
    <n v="4"/>
    <n v="5"/>
    <n v="4"/>
    <n v="4"/>
    <n v="5"/>
    <n v="4"/>
    <n v="11"/>
    <n v="10"/>
    <x v="0"/>
    <s v="Pass"/>
    <n v="0"/>
    <n v="60"/>
    <n v="0"/>
    <n v="40"/>
    <n v="0"/>
    <n v="32"/>
    <x v="1"/>
  </r>
  <r>
    <s v="GP"/>
    <s v="F"/>
    <n v="17"/>
    <s v="R"/>
    <s v="GT3"/>
    <s v="T"/>
    <n v="4"/>
    <n v="2"/>
    <s v="other"/>
    <s v="other"/>
    <s v="course"/>
    <s v="mother"/>
    <n v="1"/>
    <n v="3"/>
    <n v="0"/>
    <s v="no"/>
    <s v="yes"/>
    <s v="no"/>
    <s v="yes"/>
    <s v="yes"/>
    <s v="yes"/>
    <s v="yes"/>
    <s v="no"/>
    <n v="4"/>
    <n v="3"/>
    <n v="4"/>
    <n v="1"/>
    <n v="3"/>
    <n v="5"/>
    <n v="2"/>
    <n v="11"/>
    <n v="12"/>
    <x v="2"/>
    <s v="Pass"/>
    <n v="0"/>
    <n v="0"/>
    <n v="0"/>
    <n v="0"/>
    <n v="0"/>
    <n v="0"/>
    <x v="0"/>
  </r>
  <r>
    <s v="GP"/>
    <s v="F"/>
    <n v="18"/>
    <s v="U"/>
    <s v="LE3"/>
    <s v="T"/>
    <n v="1"/>
    <n v="1"/>
    <s v="other"/>
    <s v="at_home"/>
    <s v="home"/>
    <s v="mother"/>
    <n v="1"/>
    <n v="3"/>
    <n v="0"/>
    <s v="no"/>
    <s v="yes"/>
    <s v="no"/>
    <s v="no"/>
    <s v="no"/>
    <s v="yes"/>
    <s v="no"/>
    <s v="no"/>
    <n v="4"/>
    <n v="4"/>
    <n v="3"/>
    <n v="2"/>
    <n v="3"/>
    <n v="3"/>
    <n v="4"/>
    <n v="11"/>
    <n v="12"/>
    <x v="2"/>
    <s v="Pass"/>
    <n v="0"/>
    <n v="0"/>
    <n v="0"/>
    <n v="0"/>
    <n v="0"/>
    <n v="0"/>
    <x v="0"/>
  </r>
  <r>
    <s v="GP"/>
    <s v="F"/>
    <n v="18"/>
    <s v="R"/>
    <s v="GT3"/>
    <s v="T"/>
    <n v="2"/>
    <n v="2"/>
    <s v="other"/>
    <s v="other"/>
    <s v="home"/>
    <s v="mother"/>
    <n v="1"/>
    <n v="2"/>
    <n v="0"/>
    <s v="yes"/>
    <s v="no"/>
    <s v="no"/>
    <s v="no"/>
    <s v="yes"/>
    <s v="yes"/>
    <s v="no"/>
    <s v="no"/>
    <n v="3"/>
    <n v="2"/>
    <n v="3"/>
    <n v="1"/>
    <n v="1"/>
    <n v="5"/>
    <n v="4"/>
    <n v="11"/>
    <n v="11"/>
    <x v="3"/>
    <s v="Pass"/>
    <n v="0"/>
    <n v="0"/>
    <n v="0"/>
    <n v="40"/>
    <n v="0"/>
    <n v="8"/>
    <x v="0"/>
  </r>
  <r>
    <s v="GP"/>
    <s v="M"/>
    <n v="19"/>
    <s v="U"/>
    <s v="LE3"/>
    <s v="A"/>
    <n v="4"/>
    <n v="3"/>
    <s v="services"/>
    <s v="at_home"/>
    <s v="reputation"/>
    <s v="mother"/>
    <n v="1"/>
    <n v="2"/>
    <n v="0"/>
    <s v="no"/>
    <s v="yes"/>
    <s v="no"/>
    <s v="no"/>
    <s v="yes"/>
    <s v="yes"/>
    <s v="yes"/>
    <s v="no"/>
    <n v="4"/>
    <n v="3"/>
    <n v="1"/>
    <n v="1"/>
    <n v="1"/>
    <n v="1"/>
    <n v="4"/>
    <n v="11"/>
    <n v="13"/>
    <x v="2"/>
    <s v="Pass"/>
    <n v="0"/>
    <n v="0"/>
    <n v="0"/>
    <n v="40"/>
    <n v="0"/>
    <n v="8"/>
    <x v="0"/>
  </r>
  <r>
    <s v="GP"/>
    <s v="M"/>
    <n v="18"/>
    <s v="U"/>
    <s v="GT3"/>
    <s v="T"/>
    <n v="2"/>
    <n v="1"/>
    <s v="other"/>
    <s v="other"/>
    <s v="home"/>
    <s v="mother"/>
    <n v="1"/>
    <n v="2"/>
    <n v="0"/>
    <s v="no"/>
    <s v="no"/>
    <s v="no"/>
    <s v="yes"/>
    <s v="yes"/>
    <s v="yes"/>
    <s v="yes"/>
    <s v="no"/>
    <n v="5"/>
    <n v="2"/>
    <n v="4"/>
    <n v="1"/>
    <n v="2"/>
    <n v="4"/>
    <n v="2"/>
    <n v="16"/>
    <n v="16"/>
    <x v="8"/>
    <s v="Pass"/>
    <n v="0"/>
    <n v="0"/>
    <n v="0"/>
    <n v="40"/>
    <n v="0"/>
    <n v="8"/>
    <x v="0"/>
  </r>
  <r>
    <s v="GP"/>
    <s v="M"/>
    <n v="17"/>
    <s v="R"/>
    <s v="GT3"/>
    <s v="T"/>
    <n v="2"/>
    <n v="2"/>
    <s v="other"/>
    <s v="services"/>
    <s v="other"/>
    <s v="mother"/>
    <n v="2"/>
    <n v="1"/>
    <n v="0"/>
    <s v="no"/>
    <s v="no"/>
    <s v="no"/>
    <s v="no"/>
    <s v="no"/>
    <s v="no"/>
    <s v="no"/>
    <s v="no"/>
    <n v="5"/>
    <n v="2"/>
    <n v="2"/>
    <n v="1"/>
    <n v="1"/>
    <n v="4"/>
    <n v="0"/>
    <n v="9"/>
    <n v="10"/>
    <x v="7"/>
    <s v="Pass"/>
    <n v="0"/>
    <n v="0"/>
    <n v="0"/>
    <n v="70"/>
    <n v="0"/>
    <n v="14"/>
    <x v="0"/>
  </r>
  <r>
    <s v="GP"/>
    <s v="F"/>
    <n v="17"/>
    <s v="U"/>
    <s v="LE3"/>
    <s v="T"/>
    <n v="2"/>
    <n v="2"/>
    <s v="services"/>
    <s v="services"/>
    <s v="course"/>
    <s v="father"/>
    <n v="1"/>
    <n v="4"/>
    <n v="0"/>
    <s v="no"/>
    <s v="no"/>
    <s v="no"/>
    <s v="yes"/>
    <s v="yes"/>
    <s v="yes"/>
    <s v="yes"/>
    <s v="yes"/>
    <n v="3"/>
    <n v="4"/>
    <n v="1"/>
    <n v="1"/>
    <n v="1"/>
    <n v="2"/>
    <n v="2"/>
    <n v="10"/>
    <n v="11"/>
    <x v="1"/>
    <s v="Pass"/>
    <n v="0"/>
    <n v="0"/>
    <n v="0"/>
    <n v="0"/>
    <n v="0"/>
    <n v="0"/>
    <x v="0"/>
  </r>
  <r>
    <s v="GP"/>
    <s v="F"/>
    <n v="20"/>
    <s v="R"/>
    <s v="GT3"/>
    <s v="T"/>
    <n v="2"/>
    <n v="1"/>
    <s v="other"/>
    <s v="other"/>
    <s v="course"/>
    <s v="other"/>
    <n v="2"/>
    <n v="2"/>
    <n v="0"/>
    <s v="no"/>
    <s v="yes"/>
    <s v="yes"/>
    <s v="yes"/>
    <s v="yes"/>
    <s v="no"/>
    <s v="yes"/>
    <s v="yes"/>
    <n v="1"/>
    <n v="2"/>
    <n v="3"/>
    <n v="1"/>
    <n v="2"/>
    <n v="2"/>
    <n v="8"/>
    <n v="10"/>
    <n v="12"/>
    <x v="1"/>
    <s v="Pass"/>
    <n v="0"/>
    <n v="0"/>
    <n v="0"/>
    <n v="40"/>
    <n v="0"/>
    <n v="8"/>
    <x v="0"/>
  </r>
  <r>
    <s v="GP"/>
    <s v="F"/>
    <n v="18"/>
    <s v="U"/>
    <s v="GT3"/>
    <s v="T"/>
    <n v="4"/>
    <n v="3"/>
    <s v="services"/>
    <s v="other"/>
    <s v="home"/>
    <s v="father"/>
    <n v="1"/>
    <n v="2"/>
    <n v="0"/>
    <s v="no"/>
    <s v="yes"/>
    <s v="no"/>
    <s v="no"/>
    <s v="yes"/>
    <s v="yes"/>
    <s v="yes"/>
    <s v="yes"/>
    <n v="3"/>
    <n v="1"/>
    <n v="2"/>
    <n v="1"/>
    <n v="3"/>
    <n v="2"/>
    <n v="2"/>
    <n v="15"/>
    <n v="15"/>
    <x v="5"/>
    <s v="Pass"/>
    <n v="0"/>
    <n v="0"/>
    <n v="0"/>
    <n v="40"/>
    <n v="0"/>
    <n v="8"/>
    <x v="0"/>
  </r>
  <r>
    <s v="GP"/>
    <s v="M"/>
    <n v="18"/>
    <s v="U"/>
    <s v="GT3"/>
    <s v="T"/>
    <n v="4"/>
    <n v="3"/>
    <s v="teacher"/>
    <s v="other"/>
    <s v="course"/>
    <s v="mother"/>
    <n v="1"/>
    <n v="2"/>
    <n v="0"/>
    <s v="no"/>
    <s v="yes"/>
    <s v="no"/>
    <s v="no"/>
    <s v="no"/>
    <s v="yes"/>
    <s v="yes"/>
    <s v="no"/>
    <n v="4"/>
    <n v="3"/>
    <n v="2"/>
    <n v="1"/>
    <n v="1"/>
    <n v="3"/>
    <n v="2"/>
    <n v="10"/>
    <n v="10"/>
    <x v="0"/>
    <s v="Pass"/>
    <n v="0"/>
    <n v="0"/>
    <n v="0"/>
    <n v="40"/>
    <n v="0"/>
    <n v="8"/>
    <x v="0"/>
  </r>
  <r>
    <s v="GP"/>
    <s v="M"/>
    <n v="18"/>
    <s v="R"/>
    <s v="GT3"/>
    <s v="T"/>
    <n v="3"/>
    <n v="2"/>
    <s v="other"/>
    <s v="other"/>
    <s v="course"/>
    <s v="mother"/>
    <n v="1"/>
    <n v="3"/>
    <n v="0"/>
    <s v="no"/>
    <s v="no"/>
    <s v="no"/>
    <s v="yes"/>
    <s v="no"/>
    <s v="yes"/>
    <s v="no"/>
    <s v="no"/>
    <n v="5"/>
    <n v="3"/>
    <n v="2"/>
    <n v="1"/>
    <n v="1"/>
    <n v="3"/>
    <n v="2"/>
    <n v="10"/>
    <n v="11"/>
    <x v="1"/>
    <s v="Pass"/>
    <n v="0"/>
    <n v="0"/>
    <n v="0"/>
    <n v="0"/>
    <n v="0"/>
    <n v="0"/>
    <x v="0"/>
  </r>
  <r>
    <s v="GP"/>
    <s v="F"/>
    <n v="17"/>
    <s v="U"/>
    <s v="GT3"/>
    <s v="T"/>
    <n v="3"/>
    <n v="3"/>
    <s v="other"/>
    <s v="other"/>
    <s v="home"/>
    <s v="mother"/>
    <n v="1"/>
    <n v="3"/>
    <n v="0"/>
    <s v="no"/>
    <s v="no"/>
    <s v="no"/>
    <s v="yes"/>
    <s v="no"/>
    <s v="yes"/>
    <s v="no"/>
    <s v="no"/>
    <n v="3"/>
    <n v="2"/>
    <n v="3"/>
    <n v="1"/>
    <n v="1"/>
    <n v="4"/>
    <n v="2"/>
    <n v="15"/>
    <n v="12"/>
    <x v="3"/>
    <s v="Pass"/>
    <n v="0"/>
    <n v="0"/>
    <n v="0"/>
    <n v="0"/>
    <n v="0"/>
    <n v="0"/>
    <x v="0"/>
  </r>
  <r>
    <s v="GP"/>
    <s v="F"/>
    <n v="18"/>
    <s v="U"/>
    <s v="GT3"/>
    <s v="T"/>
    <n v="2"/>
    <n v="2"/>
    <s v="at_home"/>
    <s v="services"/>
    <s v="home"/>
    <s v="mother"/>
    <n v="1"/>
    <n v="3"/>
    <n v="0"/>
    <s v="no"/>
    <s v="yes"/>
    <s v="no"/>
    <s v="yes"/>
    <s v="yes"/>
    <s v="yes"/>
    <s v="yes"/>
    <s v="yes"/>
    <n v="4"/>
    <n v="3"/>
    <n v="3"/>
    <n v="1"/>
    <n v="1"/>
    <n v="3"/>
    <n v="0"/>
    <n v="11"/>
    <n v="12"/>
    <x v="3"/>
    <s v="Pass"/>
    <n v="0"/>
    <n v="0"/>
    <n v="0"/>
    <n v="0"/>
    <n v="0"/>
    <n v="0"/>
    <x v="0"/>
  </r>
  <r>
    <s v="GP"/>
    <s v="M"/>
    <n v="17"/>
    <s v="U"/>
    <s v="GT3"/>
    <s v="T"/>
    <n v="2"/>
    <n v="2"/>
    <s v="other"/>
    <s v="other"/>
    <s v="home"/>
    <s v="father"/>
    <n v="2"/>
    <n v="1"/>
    <n v="0"/>
    <s v="no"/>
    <s v="no"/>
    <s v="no"/>
    <s v="no"/>
    <s v="yes"/>
    <s v="no"/>
    <s v="yes"/>
    <s v="no"/>
    <n v="4"/>
    <n v="4"/>
    <n v="4"/>
    <n v="2"/>
    <n v="3"/>
    <n v="4"/>
    <n v="8"/>
    <n v="8"/>
    <n v="8"/>
    <x v="9"/>
    <s v="Fail"/>
    <n v="0"/>
    <n v="0"/>
    <n v="0"/>
    <n v="70"/>
    <n v="0"/>
    <n v="14"/>
    <x v="0"/>
  </r>
  <r>
    <s v="GP"/>
    <s v="M"/>
    <n v="18"/>
    <s v="R"/>
    <s v="LE3"/>
    <s v="A"/>
    <n v="3"/>
    <n v="4"/>
    <s v="other"/>
    <s v="other"/>
    <s v="reputation"/>
    <s v="mother"/>
    <n v="2"/>
    <n v="2"/>
    <n v="0"/>
    <s v="no"/>
    <s v="yes"/>
    <s v="no"/>
    <s v="yes"/>
    <s v="yes"/>
    <s v="yes"/>
    <s v="yes"/>
    <s v="no"/>
    <n v="4"/>
    <n v="2"/>
    <n v="5"/>
    <n v="3"/>
    <n v="4"/>
    <n v="1"/>
    <n v="6"/>
    <n v="15"/>
    <n v="16"/>
    <x v="8"/>
    <s v="Pass"/>
    <n v="0"/>
    <n v="0"/>
    <n v="0"/>
    <n v="40"/>
    <n v="0"/>
    <n v="8"/>
    <x v="0"/>
  </r>
  <r>
    <s v="GP"/>
    <s v="M"/>
    <n v="17"/>
    <s v="U"/>
    <s v="GT3"/>
    <s v="T"/>
    <n v="3"/>
    <n v="1"/>
    <s v="services"/>
    <s v="other"/>
    <s v="other"/>
    <s v="mother"/>
    <n v="1"/>
    <n v="2"/>
    <n v="0"/>
    <s v="no"/>
    <s v="no"/>
    <s v="no"/>
    <s v="yes"/>
    <s v="yes"/>
    <s v="yes"/>
    <s v="yes"/>
    <s v="yes"/>
    <n v="5"/>
    <n v="4"/>
    <n v="4"/>
    <n v="3"/>
    <n v="4"/>
    <n v="5"/>
    <n v="0"/>
    <n v="11"/>
    <n v="11"/>
    <x v="2"/>
    <s v="Pass"/>
    <n v="0"/>
    <n v="0"/>
    <n v="0"/>
    <n v="40"/>
    <n v="0"/>
    <n v="8"/>
    <x v="0"/>
  </r>
  <r>
    <s v="GP"/>
    <s v="F"/>
    <n v="18"/>
    <s v="R"/>
    <s v="GT3"/>
    <s v="T"/>
    <n v="4"/>
    <n v="4"/>
    <s v="teacher"/>
    <s v="other"/>
    <s v="reputation"/>
    <s v="mother"/>
    <n v="2"/>
    <n v="2"/>
    <n v="0"/>
    <s v="no"/>
    <s v="no"/>
    <s v="no"/>
    <s v="yes"/>
    <s v="yes"/>
    <s v="yes"/>
    <s v="yes"/>
    <s v="no"/>
    <n v="4"/>
    <n v="3"/>
    <n v="4"/>
    <n v="2"/>
    <n v="2"/>
    <n v="4"/>
    <n v="8"/>
    <n v="10"/>
    <n v="11"/>
    <x v="1"/>
    <s v="Pass"/>
    <n v="0"/>
    <n v="0"/>
    <n v="0"/>
    <n v="40"/>
    <n v="0"/>
    <n v="8"/>
    <x v="0"/>
  </r>
  <r>
    <s v="GP"/>
    <s v="M"/>
    <n v="18"/>
    <s v="U"/>
    <s v="GT3"/>
    <s v="T"/>
    <n v="4"/>
    <n v="2"/>
    <s v="health"/>
    <s v="other"/>
    <s v="reputation"/>
    <s v="father"/>
    <n v="1"/>
    <n v="2"/>
    <n v="0"/>
    <s v="no"/>
    <s v="yes"/>
    <s v="no"/>
    <s v="yes"/>
    <s v="yes"/>
    <s v="yes"/>
    <s v="yes"/>
    <s v="yes"/>
    <n v="5"/>
    <n v="4"/>
    <n v="5"/>
    <n v="1"/>
    <n v="3"/>
    <n v="5"/>
    <n v="4"/>
    <n v="10"/>
    <n v="12"/>
    <x v="2"/>
    <s v="Pass"/>
    <n v="0"/>
    <n v="0"/>
    <n v="0"/>
    <n v="40"/>
    <n v="0"/>
    <n v="8"/>
    <x v="0"/>
  </r>
  <r>
    <s v="GP"/>
    <s v="F"/>
    <n v="18"/>
    <s v="R"/>
    <s v="GT3"/>
    <s v="T"/>
    <n v="2"/>
    <n v="1"/>
    <s v="other"/>
    <s v="other"/>
    <s v="reputation"/>
    <s v="mother"/>
    <n v="2"/>
    <n v="2"/>
    <n v="0"/>
    <s v="no"/>
    <s v="yes"/>
    <s v="no"/>
    <s v="no"/>
    <s v="yes"/>
    <s v="no"/>
    <s v="yes"/>
    <s v="yes"/>
    <n v="4"/>
    <n v="3"/>
    <n v="5"/>
    <n v="1"/>
    <n v="2"/>
    <n v="3"/>
    <n v="12"/>
    <n v="8"/>
    <n v="9"/>
    <x v="7"/>
    <s v="Pass"/>
    <n v="0"/>
    <n v="0"/>
    <n v="50"/>
    <n v="40"/>
    <n v="0"/>
    <n v="23"/>
    <x v="0"/>
  </r>
  <r>
    <s v="GP"/>
    <s v="F"/>
    <n v="19"/>
    <s v="U"/>
    <s v="GT3"/>
    <s v="T"/>
    <n v="3"/>
    <n v="3"/>
    <s v="other"/>
    <s v="services"/>
    <s v="home"/>
    <s v="other"/>
    <n v="1"/>
    <n v="2"/>
    <n v="0"/>
    <s v="no"/>
    <s v="yes"/>
    <s v="no"/>
    <s v="yes"/>
    <s v="yes"/>
    <s v="yes"/>
    <s v="yes"/>
    <s v="no"/>
    <n v="4"/>
    <n v="3"/>
    <n v="5"/>
    <n v="3"/>
    <n v="3"/>
    <n v="5"/>
    <n v="16"/>
    <n v="11"/>
    <n v="12"/>
    <x v="1"/>
    <s v="Pass"/>
    <n v="0"/>
    <n v="0"/>
    <n v="80"/>
    <n v="40"/>
    <n v="0"/>
    <n v="32"/>
    <x v="1"/>
  </r>
  <r>
    <s v="GP"/>
    <s v="F"/>
    <n v="18"/>
    <s v="U"/>
    <s v="GT3"/>
    <s v="T"/>
    <n v="2"/>
    <n v="3"/>
    <s v="other"/>
    <s v="services"/>
    <s v="reputation"/>
    <s v="father"/>
    <n v="1"/>
    <n v="4"/>
    <n v="0"/>
    <s v="no"/>
    <s v="yes"/>
    <s v="no"/>
    <s v="yes"/>
    <s v="yes"/>
    <s v="yes"/>
    <s v="yes"/>
    <s v="yes"/>
    <n v="4"/>
    <n v="5"/>
    <n v="5"/>
    <n v="1"/>
    <n v="3"/>
    <n v="2"/>
    <n v="10"/>
    <n v="16"/>
    <n v="16"/>
    <x v="8"/>
    <s v="Pass"/>
    <n v="0"/>
    <n v="0"/>
    <n v="0"/>
    <n v="0"/>
    <n v="0"/>
    <n v="0"/>
    <x v="0"/>
  </r>
  <r>
    <s v="GP"/>
    <s v="F"/>
    <n v="18"/>
    <s v="U"/>
    <s v="LE3"/>
    <s v="T"/>
    <n v="1"/>
    <n v="1"/>
    <s v="other"/>
    <s v="other"/>
    <s v="home"/>
    <s v="mother"/>
    <n v="2"/>
    <n v="2"/>
    <n v="0"/>
    <s v="no"/>
    <s v="yes"/>
    <s v="no"/>
    <s v="no"/>
    <s v="no"/>
    <s v="yes"/>
    <s v="no"/>
    <s v="no"/>
    <n v="4"/>
    <n v="4"/>
    <n v="3"/>
    <n v="1"/>
    <n v="1"/>
    <n v="3"/>
    <n v="2"/>
    <n v="13"/>
    <n v="13"/>
    <x v="3"/>
    <s v="Pass"/>
    <n v="0"/>
    <n v="0"/>
    <n v="0"/>
    <n v="40"/>
    <n v="0"/>
    <n v="8"/>
    <x v="0"/>
  </r>
  <r>
    <s v="GP"/>
    <s v="M"/>
    <n v="17"/>
    <s v="R"/>
    <s v="GT3"/>
    <s v="T"/>
    <n v="1"/>
    <n v="2"/>
    <s v="at_home"/>
    <s v="at_home"/>
    <s v="home"/>
    <s v="mother"/>
    <n v="1"/>
    <n v="2"/>
    <n v="0"/>
    <s v="no"/>
    <s v="yes"/>
    <s v="no"/>
    <s v="yes"/>
    <s v="no"/>
    <s v="yes"/>
    <s v="no"/>
    <s v="yes"/>
    <n v="3"/>
    <n v="5"/>
    <n v="2"/>
    <n v="2"/>
    <n v="2"/>
    <n v="1"/>
    <n v="2"/>
    <n v="16"/>
    <n v="17"/>
    <x v="11"/>
    <s v="Pass"/>
    <n v="0"/>
    <n v="0"/>
    <n v="0"/>
    <n v="40"/>
    <n v="0"/>
    <n v="8"/>
    <x v="0"/>
  </r>
  <r>
    <s v="GP"/>
    <s v="F"/>
    <n v="18"/>
    <s v="U"/>
    <s v="GT3"/>
    <s v="T"/>
    <n v="2"/>
    <n v="1"/>
    <s v="other"/>
    <s v="other"/>
    <s v="home"/>
    <s v="mother"/>
    <n v="1"/>
    <n v="2"/>
    <n v="0"/>
    <s v="no"/>
    <s v="yes"/>
    <s v="no"/>
    <s v="no"/>
    <s v="yes"/>
    <s v="yes"/>
    <s v="yes"/>
    <s v="yes"/>
    <n v="4"/>
    <n v="2"/>
    <n v="5"/>
    <n v="1"/>
    <n v="2"/>
    <n v="1"/>
    <n v="8"/>
    <n v="14"/>
    <n v="14"/>
    <x v="5"/>
    <s v="Pass"/>
    <n v="0"/>
    <n v="0"/>
    <n v="0"/>
    <n v="40"/>
    <n v="0"/>
    <n v="8"/>
    <x v="0"/>
  </r>
  <r>
    <s v="GP"/>
    <s v="F"/>
    <n v="17"/>
    <s v="U"/>
    <s v="GT3"/>
    <s v="T"/>
    <n v="2"/>
    <n v="4"/>
    <s v="at_home"/>
    <s v="health"/>
    <s v="reputation"/>
    <s v="mother"/>
    <n v="2"/>
    <n v="2"/>
    <n v="0"/>
    <s v="no"/>
    <s v="yes"/>
    <s v="no"/>
    <s v="no"/>
    <s v="yes"/>
    <s v="yes"/>
    <s v="yes"/>
    <s v="yes"/>
    <n v="4"/>
    <n v="3"/>
    <n v="3"/>
    <n v="1"/>
    <n v="1"/>
    <n v="1"/>
    <n v="6"/>
    <n v="15"/>
    <n v="16"/>
    <x v="8"/>
    <s v="Pass"/>
    <n v="0"/>
    <n v="0"/>
    <n v="0"/>
    <n v="40"/>
    <n v="0"/>
    <n v="8"/>
    <x v="0"/>
  </r>
  <r>
    <s v="GP"/>
    <s v="F"/>
    <n v="17"/>
    <s v="U"/>
    <s v="LE3"/>
    <s v="T"/>
    <n v="2"/>
    <n v="2"/>
    <s v="services"/>
    <s v="other"/>
    <s v="course"/>
    <s v="mother"/>
    <n v="2"/>
    <n v="2"/>
    <n v="0"/>
    <s v="yes"/>
    <s v="yes"/>
    <s v="no"/>
    <s v="no"/>
    <s v="yes"/>
    <s v="yes"/>
    <s v="yes"/>
    <s v="yes"/>
    <n v="4"/>
    <n v="4"/>
    <n v="4"/>
    <n v="2"/>
    <n v="3"/>
    <n v="5"/>
    <n v="6"/>
    <n v="12"/>
    <n v="12"/>
    <x v="1"/>
    <s v="Pass"/>
    <n v="0"/>
    <n v="0"/>
    <n v="0"/>
    <n v="40"/>
    <n v="0"/>
    <n v="8"/>
    <x v="0"/>
  </r>
  <r>
    <s v="GP"/>
    <s v="F"/>
    <n v="18"/>
    <s v="R"/>
    <s v="GT3"/>
    <s v="A"/>
    <n v="3"/>
    <n v="2"/>
    <s v="other"/>
    <s v="services"/>
    <s v="home"/>
    <s v="mother"/>
    <n v="2"/>
    <n v="2"/>
    <n v="0"/>
    <s v="no"/>
    <s v="no"/>
    <s v="no"/>
    <s v="no"/>
    <s v="no"/>
    <s v="no"/>
    <s v="yes"/>
    <s v="yes"/>
    <n v="4"/>
    <n v="1"/>
    <n v="1"/>
    <n v="1"/>
    <n v="1"/>
    <n v="5"/>
    <n v="15"/>
    <n v="12"/>
    <n v="9"/>
    <x v="7"/>
    <s v="Pass"/>
    <n v="0"/>
    <n v="0"/>
    <n v="50"/>
    <n v="40"/>
    <n v="0"/>
    <n v="23"/>
    <x v="0"/>
  </r>
  <r>
    <s v="GP"/>
    <s v="M"/>
    <n v="18"/>
    <s v="U"/>
    <s v="GT3"/>
    <s v="T"/>
    <n v="4"/>
    <n v="4"/>
    <s v="teacher"/>
    <s v="services"/>
    <s v="home"/>
    <s v="mother"/>
    <n v="2"/>
    <n v="1"/>
    <n v="0"/>
    <s v="no"/>
    <s v="no"/>
    <s v="no"/>
    <s v="yes"/>
    <s v="yes"/>
    <s v="yes"/>
    <s v="yes"/>
    <s v="no"/>
    <n v="3"/>
    <n v="2"/>
    <n v="4"/>
    <n v="1"/>
    <n v="4"/>
    <n v="3"/>
    <n v="6"/>
    <n v="11"/>
    <n v="12"/>
    <x v="1"/>
    <s v="Pass"/>
    <n v="0"/>
    <n v="0"/>
    <n v="0"/>
    <n v="70"/>
    <n v="0"/>
    <n v="14"/>
    <x v="0"/>
  </r>
  <r>
    <s v="GP"/>
    <s v="F"/>
    <n v="18"/>
    <s v="U"/>
    <s v="GT3"/>
    <s v="T"/>
    <n v="4"/>
    <n v="4"/>
    <s v="health"/>
    <s v="health"/>
    <s v="reputation"/>
    <s v="father"/>
    <n v="1"/>
    <n v="2"/>
    <n v="1"/>
    <s v="yes"/>
    <s v="yes"/>
    <s v="no"/>
    <s v="yes"/>
    <s v="yes"/>
    <s v="yes"/>
    <s v="yes"/>
    <s v="yes"/>
    <n v="2"/>
    <n v="4"/>
    <n v="4"/>
    <n v="1"/>
    <n v="1"/>
    <n v="4"/>
    <n v="2"/>
    <n v="14"/>
    <n v="12"/>
    <x v="3"/>
    <s v="Pass"/>
    <n v="0"/>
    <n v="60"/>
    <n v="0"/>
    <n v="40"/>
    <n v="0"/>
    <n v="32"/>
    <x v="1"/>
  </r>
  <r>
    <s v="GP"/>
    <s v="F"/>
    <n v="17"/>
    <s v="U"/>
    <s v="GT3"/>
    <s v="T"/>
    <n v="2"/>
    <n v="2"/>
    <s v="other"/>
    <s v="services"/>
    <s v="reputation"/>
    <s v="father"/>
    <n v="3"/>
    <n v="3"/>
    <n v="0"/>
    <s v="no"/>
    <s v="yes"/>
    <s v="no"/>
    <s v="no"/>
    <s v="yes"/>
    <s v="yes"/>
    <s v="yes"/>
    <s v="yes"/>
    <n v="4"/>
    <n v="2"/>
    <n v="3"/>
    <n v="1"/>
    <n v="1"/>
    <n v="1"/>
    <n v="8"/>
    <n v="13"/>
    <n v="15"/>
    <x v="5"/>
    <s v="Pass"/>
    <n v="0"/>
    <n v="0"/>
    <n v="0"/>
    <n v="0"/>
    <n v="0"/>
    <n v="0"/>
    <x v="0"/>
  </r>
  <r>
    <s v="GP"/>
    <s v="F"/>
    <n v="19"/>
    <s v="R"/>
    <s v="GT3"/>
    <s v="T"/>
    <n v="3"/>
    <n v="2"/>
    <s v="services"/>
    <s v="services"/>
    <s v="reputation"/>
    <s v="father"/>
    <n v="1"/>
    <n v="2"/>
    <n v="1"/>
    <s v="yes"/>
    <s v="yes"/>
    <s v="no"/>
    <s v="no"/>
    <s v="yes"/>
    <s v="no"/>
    <s v="yes"/>
    <s v="no"/>
    <n v="3"/>
    <n v="3"/>
    <n v="3"/>
    <n v="4"/>
    <n v="3"/>
    <n v="3"/>
    <n v="0"/>
    <n v="9"/>
    <n v="8"/>
    <x v="7"/>
    <s v="Pass"/>
    <n v="0"/>
    <n v="60"/>
    <n v="0"/>
    <n v="40"/>
    <n v="0"/>
    <n v="32"/>
    <x v="1"/>
  </r>
  <r>
    <s v="GP"/>
    <s v="M"/>
    <n v="18"/>
    <s v="U"/>
    <s v="LE3"/>
    <s v="T"/>
    <n v="4"/>
    <n v="3"/>
    <s v="teacher"/>
    <s v="services"/>
    <s v="course"/>
    <s v="mother"/>
    <n v="2"/>
    <n v="1"/>
    <n v="0"/>
    <s v="no"/>
    <s v="no"/>
    <s v="no"/>
    <s v="yes"/>
    <s v="yes"/>
    <s v="yes"/>
    <s v="yes"/>
    <s v="no"/>
    <n v="4"/>
    <n v="2"/>
    <n v="3"/>
    <n v="1"/>
    <n v="2"/>
    <n v="1"/>
    <n v="0"/>
    <n v="10"/>
    <n v="10"/>
    <x v="7"/>
    <s v="Pass"/>
    <n v="0"/>
    <n v="0"/>
    <n v="0"/>
    <n v="70"/>
    <n v="0"/>
    <n v="14"/>
    <x v="0"/>
  </r>
  <r>
    <s v="GP"/>
    <s v="M"/>
    <n v="18"/>
    <s v="U"/>
    <s v="GT3"/>
    <s v="T"/>
    <n v="1"/>
    <n v="2"/>
    <s v="at_home"/>
    <s v="other"/>
    <s v="home"/>
    <s v="other"/>
    <n v="2"/>
    <n v="1"/>
    <n v="0"/>
    <s v="no"/>
    <s v="no"/>
    <s v="no"/>
    <s v="no"/>
    <s v="no"/>
    <s v="no"/>
    <s v="yes"/>
    <s v="no"/>
    <n v="3"/>
    <n v="4"/>
    <n v="4"/>
    <n v="2"/>
    <n v="4"/>
    <n v="4"/>
    <n v="10"/>
    <n v="10"/>
    <n v="10"/>
    <x v="0"/>
    <s v="Pass"/>
    <n v="0"/>
    <n v="0"/>
    <n v="0"/>
    <n v="70"/>
    <n v="0"/>
    <n v="14"/>
    <x v="0"/>
  </r>
  <r>
    <s v="GP"/>
    <s v="M"/>
    <n v="17"/>
    <s v="U"/>
    <s v="LE3"/>
    <s v="A"/>
    <n v="4"/>
    <n v="1"/>
    <s v="services"/>
    <s v="other"/>
    <s v="home"/>
    <s v="mother"/>
    <n v="2"/>
    <n v="1"/>
    <n v="0"/>
    <s v="no"/>
    <s v="no"/>
    <s v="no"/>
    <s v="yes"/>
    <s v="yes"/>
    <s v="yes"/>
    <s v="yes"/>
    <s v="yes"/>
    <n v="4"/>
    <n v="5"/>
    <n v="4"/>
    <n v="2"/>
    <n v="4"/>
    <n v="5"/>
    <n v="22"/>
    <n v="11"/>
    <n v="11"/>
    <x v="7"/>
    <s v="Pass"/>
    <n v="1"/>
    <n v="0"/>
    <n v="80"/>
    <n v="70"/>
    <n v="50"/>
    <n v="43"/>
    <x v="1"/>
  </r>
  <r>
    <s v="GP"/>
    <s v="M"/>
    <n v="17"/>
    <s v="U"/>
    <s v="LE3"/>
    <s v="A"/>
    <n v="3"/>
    <n v="2"/>
    <s v="teacher"/>
    <s v="services"/>
    <s v="home"/>
    <s v="mother"/>
    <n v="1"/>
    <n v="1"/>
    <n v="0"/>
    <s v="no"/>
    <s v="no"/>
    <s v="no"/>
    <s v="no"/>
    <s v="yes"/>
    <s v="yes"/>
    <s v="yes"/>
    <s v="no"/>
    <n v="4"/>
    <n v="4"/>
    <n v="4"/>
    <n v="3"/>
    <n v="4"/>
    <n v="3"/>
    <n v="18"/>
    <n v="13"/>
    <n v="13"/>
    <x v="3"/>
    <s v="Pass"/>
    <n v="0"/>
    <n v="0"/>
    <n v="80"/>
    <n v="70"/>
    <n v="0"/>
    <n v="38"/>
    <x v="1"/>
  </r>
  <r>
    <s v="GP"/>
    <s v="F"/>
    <n v="18"/>
    <s v="R"/>
    <s v="LE3"/>
    <s v="T"/>
    <n v="1"/>
    <n v="1"/>
    <s v="at_home"/>
    <s v="other"/>
    <s v="reputation"/>
    <s v="mother"/>
    <n v="2"/>
    <n v="4"/>
    <n v="0"/>
    <s v="no"/>
    <s v="yes"/>
    <s v="no"/>
    <s v="yes"/>
    <s v="yes"/>
    <s v="yes"/>
    <s v="no"/>
    <s v="no"/>
    <n v="5"/>
    <n v="2"/>
    <n v="2"/>
    <n v="1"/>
    <n v="1"/>
    <n v="3"/>
    <n v="2"/>
    <n v="17"/>
    <n v="17"/>
    <x v="11"/>
    <s v="Pass"/>
    <n v="0"/>
    <n v="0"/>
    <n v="0"/>
    <n v="0"/>
    <n v="0"/>
    <n v="0"/>
    <x v="0"/>
  </r>
  <r>
    <s v="GP"/>
    <s v="F"/>
    <n v="18"/>
    <s v="U"/>
    <s v="GT3"/>
    <s v="T"/>
    <n v="1"/>
    <n v="1"/>
    <s v="other"/>
    <s v="other"/>
    <s v="home"/>
    <s v="mother"/>
    <n v="2"/>
    <n v="2"/>
    <n v="0"/>
    <s v="yes"/>
    <s v="no"/>
    <s v="no"/>
    <s v="yes"/>
    <s v="yes"/>
    <s v="yes"/>
    <s v="yes"/>
    <s v="no"/>
    <n v="5"/>
    <n v="4"/>
    <n v="4"/>
    <n v="1"/>
    <n v="1"/>
    <n v="4"/>
    <n v="0"/>
    <n v="12"/>
    <n v="13"/>
    <x v="3"/>
    <s v="Pass"/>
    <n v="0"/>
    <n v="0"/>
    <n v="0"/>
    <n v="40"/>
    <n v="0"/>
    <n v="8"/>
    <x v="0"/>
  </r>
  <r>
    <s v="GP"/>
    <s v="F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no"/>
    <s v="yes"/>
    <s v="yes"/>
    <s v="no"/>
    <n v="5"/>
    <n v="4"/>
    <n v="5"/>
    <n v="1"/>
    <n v="2"/>
    <n v="5"/>
    <n v="12"/>
    <n v="12"/>
    <n v="12"/>
    <x v="2"/>
    <s v="Pass"/>
    <n v="0"/>
    <n v="0"/>
    <n v="50"/>
    <n v="40"/>
    <n v="0"/>
    <n v="23"/>
    <x v="0"/>
  </r>
  <r>
    <s v="GP"/>
    <s v="F"/>
    <n v="18"/>
    <s v="U"/>
    <s v="GT3"/>
    <s v="T"/>
    <n v="2"/>
    <n v="1"/>
    <s v="other"/>
    <s v="other"/>
    <s v="reputation"/>
    <s v="mother"/>
    <n v="2"/>
    <n v="2"/>
    <n v="0"/>
    <s v="no"/>
    <s v="no"/>
    <s v="no"/>
    <s v="yes"/>
    <s v="yes"/>
    <s v="yes"/>
    <s v="yes"/>
    <s v="yes"/>
    <n v="4"/>
    <n v="3"/>
    <n v="1"/>
    <n v="1"/>
    <n v="1"/>
    <n v="5"/>
    <n v="10"/>
    <n v="12"/>
    <n v="13"/>
    <x v="2"/>
    <s v="Pass"/>
    <n v="0"/>
    <n v="0"/>
    <n v="0"/>
    <n v="40"/>
    <n v="0"/>
    <n v="8"/>
    <x v="0"/>
  </r>
  <r>
    <s v="GP"/>
    <s v="M"/>
    <n v="17"/>
    <s v="U"/>
    <s v="GT3"/>
    <s v="T"/>
    <n v="1"/>
    <n v="1"/>
    <s v="other"/>
    <s v="other"/>
    <s v="reputation"/>
    <s v="father"/>
    <n v="1"/>
    <n v="2"/>
    <n v="0"/>
    <s v="no"/>
    <s v="no"/>
    <s v="no"/>
    <s v="no"/>
    <s v="no"/>
    <s v="yes"/>
    <s v="yes"/>
    <s v="no"/>
    <n v="4"/>
    <n v="3"/>
    <n v="3"/>
    <n v="1"/>
    <n v="2"/>
    <n v="4"/>
    <n v="0"/>
    <n v="12"/>
    <n v="12"/>
    <x v="1"/>
    <s v="Pass"/>
    <n v="0"/>
    <n v="0"/>
    <n v="0"/>
    <n v="40"/>
    <n v="0"/>
    <n v="8"/>
    <x v="0"/>
  </r>
  <r>
    <s v="GP"/>
    <s v="F"/>
    <n v="18"/>
    <s v="U"/>
    <s v="GT3"/>
    <s v="T"/>
    <n v="2"/>
    <n v="2"/>
    <s v="at_home"/>
    <s v="at_home"/>
    <s v="other"/>
    <s v="mother"/>
    <n v="1"/>
    <n v="3"/>
    <n v="0"/>
    <s v="no"/>
    <s v="yes"/>
    <s v="no"/>
    <s v="no"/>
    <s v="yes"/>
    <s v="yes"/>
    <s v="yes"/>
    <s v="no"/>
    <n v="4"/>
    <n v="3"/>
    <n v="3"/>
    <n v="1"/>
    <n v="2"/>
    <n v="2"/>
    <n v="0"/>
    <n v="18"/>
    <n v="18"/>
    <x v="11"/>
    <s v="Pass"/>
    <n v="0"/>
    <n v="0"/>
    <n v="0"/>
    <n v="0"/>
    <n v="0"/>
    <n v="0"/>
    <x v="0"/>
  </r>
  <r>
    <s v="GP"/>
    <s v="F"/>
    <n v="17"/>
    <s v="U"/>
    <s v="GT3"/>
    <s v="T"/>
    <n v="1"/>
    <n v="1"/>
    <s v="services"/>
    <s v="teacher"/>
    <s v="reputation"/>
    <s v="mother"/>
    <n v="1"/>
    <n v="3"/>
    <n v="0"/>
    <s v="no"/>
    <s v="yes"/>
    <s v="no"/>
    <s v="no"/>
    <s v="yes"/>
    <s v="yes"/>
    <s v="yes"/>
    <s v="no"/>
    <n v="4"/>
    <n v="3"/>
    <n v="3"/>
    <n v="1"/>
    <n v="1"/>
    <n v="3"/>
    <n v="0"/>
    <n v="13"/>
    <n v="13"/>
    <x v="2"/>
    <s v="Pass"/>
    <n v="0"/>
    <n v="0"/>
    <n v="0"/>
    <n v="0"/>
    <n v="0"/>
    <n v="0"/>
    <x v="0"/>
  </r>
  <r>
    <s v="GP"/>
    <s v="M"/>
    <n v="18"/>
    <s v="U"/>
    <s v="GT3"/>
    <s v="T"/>
    <n v="2"/>
    <n v="1"/>
    <s v="services"/>
    <s v="services"/>
    <s v="reputation"/>
    <s v="mother"/>
    <n v="1"/>
    <n v="3"/>
    <n v="0"/>
    <s v="no"/>
    <s v="no"/>
    <s v="no"/>
    <s v="yes"/>
    <s v="yes"/>
    <s v="yes"/>
    <s v="yes"/>
    <s v="no"/>
    <n v="4"/>
    <n v="2"/>
    <n v="4"/>
    <n v="1"/>
    <n v="3"/>
    <n v="2"/>
    <n v="0"/>
    <n v="14"/>
    <n v="15"/>
    <x v="5"/>
    <s v="Pass"/>
    <n v="0"/>
    <n v="0"/>
    <n v="0"/>
    <n v="0"/>
    <n v="0"/>
    <n v="0"/>
    <x v="0"/>
  </r>
  <r>
    <s v="GP"/>
    <s v="M"/>
    <n v="18"/>
    <s v="U"/>
    <s v="LE3"/>
    <s v="A"/>
    <n v="4"/>
    <n v="4"/>
    <s v="teacher"/>
    <s v="teacher"/>
    <s v="reputation"/>
    <s v="mother"/>
    <n v="1"/>
    <n v="2"/>
    <n v="0"/>
    <s v="no"/>
    <s v="yes"/>
    <s v="no"/>
    <s v="yes"/>
    <s v="yes"/>
    <s v="yes"/>
    <s v="yes"/>
    <s v="no"/>
    <n v="5"/>
    <n v="4"/>
    <n v="3"/>
    <n v="1"/>
    <n v="1"/>
    <n v="2"/>
    <n v="0"/>
    <n v="17"/>
    <n v="17"/>
    <x v="4"/>
    <s v="Pass"/>
    <n v="0"/>
    <n v="0"/>
    <n v="0"/>
    <n v="40"/>
    <n v="0"/>
    <n v="8"/>
    <x v="0"/>
  </r>
  <r>
    <s v="GP"/>
    <s v="M"/>
    <n v="18"/>
    <s v="U"/>
    <s v="GT3"/>
    <s v="T"/>
    <n v="4"/>
    <n v="2"/>
    <s v="teacher"/>
    <s v="other"/>
    <s v="home"/>
    <s v="mother"/>
    <n v="1"/>
    <n v="2"/>
    <n v="0"/>
    <s v="no"/>
    <s v="yes"/>
    <s v="no"/>
    <s v="yes"/>
    <s v="yes"/>
    <s v="yes"/>
    <s v="yes"/>
    <s v="yes"/>
    <n v="4"/>
    <n v="3"/>
    <n v="2"/>
    <n v="1"/>
    <n v="4"/>
    <n v="5"/>
    <n v="2"/>
    <n v="15"/>
    <n v="16"/>
    <x v="8"/>
    <s v="Pass"/>
    <n v="0"/>
    <n v="0"/>
    <n v="0"/>
    <n v="40"/>
    <n v="0"/>
    <n v="8"/>
    <x v="0"/>
  </r>
  <r>
    <s v="GP"/>
    <s v="F"/>
    <n v="17"/>
    <s v="U"/>
    <s v="GT3"/>
    <s v="T"/>
    <n v="4"/>
    <n v="3"/>
    <s v="health"/>
    <s v="services"/>
    <s v="reputation"/>
    <s v="mother"/>
    <n v="1"/>
    <n v="3"/>
    <n v="0"/>
    <s v="no"/>
    <s v="yes"/>
    <s v="no"/>
    <s v="no"/>
    <s v="yes"/>
    <s v="yes"/>
    <s v="yes"/>
    <s v="no"/>
    <n v="4"/>
    <n v="2"/>
    <n v="2"/>
    <n v="1"/>
    <n v="2"/>
    <n v="3"/>
    <n v="0"/>
    <n v="17"/>
    <n v="18"/>
    <x v="11"/>
    <s v="Pass"/>
    <n v="0"/>
    <n v="0"/>
    <n v="0"/>
    <n v="0"/>
    <n v="0"/>
    <n v="0"/>
    <x v="0"/>
  </r>
  <r>
    <s v="GP"/>
    <s v="F"/>
    <n v="17"/>
    <s v="R"/>
    <s v="LE3"/>
    <s v="T"/>
    <n v="3"/>
    <n v="1"/>
    <s v="services"/>
    <s v="other"/>
    <s v="reputation"/>
    <s v="mother"/>
    <n v="2"/>
    <n v="4"/>
    <n v="0"/>
    <s v="no"/>
    <s v="yes"/>
    <s v="no"/>
    <s v="no"/>
    <s v="yes"/>
    <s v="yes"/>
    <s v="no"/>
    <s v="no"/>
    <n v="3"/>
    <n v="1"/>
    <n v="2"/>
    <n v="1"/>
    <n v="1"/>
    <n v="3"/>
    <n v="0"/>
    <n v="18"/>
    <n v="19"/>
    <x v="16"/>
    <s v="Pass"/>
    <n v="0"/>
    <n v="0"/>
    <n v="0"/>
    <n v="0"/>
    <n v="0"/>
    <n v="0"/>
    <x v="0"/>
  </r>
  <r>
    <s v="GP"/>
    <s v="M"/>
    <n v="18"/>
    <s v="R"/>
    <s v="LE3"/>
    <s v="T"/>
    <n v="3"/>
    <n v="2"/>
    <s v="services"/>
    <s v="other"/>
    <s v="reputation"/>
    <s v="mother"/>
    <n v="2"/>
    <n v="3"/>
    <n v="0"/>
    <s v="no"/>
    <s v="yes"/>
    <s v="no"/>
    <s v="yes"/>
    <s v="yes"/>
    <s v="yes"/>
    <s v="yes"/>
    <s v="no"/>
    <n v="5"/>
    <n v="4"/>
    <n v="2"/>
    <n v="1"/>
    <n v="1"/>
    <n v="4"/>
    <n v="0"/>
    <n v="14"/>
    <n v="15"/>
    <x v="5"/>
    <s v="Pass"/>
    <n v="0"/>
    <n v="0"/>
    <n v="0"/>
    <n v="0"/>
    <n v="0"/>
    <n v="0"/>
    <x v="0"/>
  </r>
  <r>
    <s v="GP"/>
    <s v="M"/>
    <n v="17"/>
    <s v="U"/>
    <s v="GT3"/>
    <s v="T"/>
    <n v="3"/>
    <n v="3"/>
    <s v="health"/>
    <s v="other"/>
    <s v="home"/>
    <s v="mother"/>
    <n v="1"/>
    <n v="1"/>
    <n v="0"/>
    <s v="no"/>
    <s v="yes"/>
    <s v="no"/>
    <s v="no"/>
    <s v="yes"/>
    <s v="yes"/>
    <s v="yes"/>
    <s v="no"/>
    <n v="4"/>
    <n v="4"/>
    <n v="3"/>
    <n v="1"/>
    <n v="3"/>
    <n v="5"/>
    <n v="0"/>
    <n v="14"/>
    <n v="15"/>
    <x v="5"/>
    <s v="Pass"/>
    <n v="0"/>
    <n v="0"/>
    <n v="0"/>
    <n v="70"/>
    <n v="0"/>
    <n v="14"/>
    <x v="0"/>
  </r>
  <r>
    <s v="GP"/>
    <s v="F"/>
    <n v="19"/>
    <s v="U"/>
    <s v="GT3"/>
    <s v="T"/>
    <n v="4"/>
    <n v="4"/>
    <s v="health"/>
    <s v="other"/>
    <s v="reputation"/>
    <s v="other"/>
    <n v="2"/>
    <n v="2"/>
    <n v="0"/>
    <s v="no"/>
    <s v="yes"/>
    <s v="no"/>
    <s v="yes"/>
    <s v="yes"/>
    <s v="yes"/>
    <s v="yes"/>
    <s v="no"/>
    <n v="2"/>
    <n v="3"/>
    <n v="4"/>
    <n v="2"/>
    <n v="3"/>
    <n v="2"/>
    <n v="2"/>
    <n v="14"/>
    <n v="13"/>
    <x v="3"/>
    <s v="Pass"/>
    <n v="0"/>
    <n v="0"/>
    <n v="0"/>
    <n v="40"/>
    <n v="0"/>
    <n v="8"/>
    <x v="0"/>
  </r>
  <r>
    <s v="GP"/>
    <s v="F"/>
    <n v="18"/>
    <s v="U"/>
    <s v="LE3"/>
    <s v="T"/>
    <n v="4"/>
    <n v="3"/>
    <s v="other"/>
    <s v="other"/>
    <s v="home"/>
    <s v="other"/>
    <n v="2"/>
    <n v="2"/>
    <n v="0"/>
    <s v="no"/>
    <s v="yes"/>
    <s v="no"/>
    <s v="no"/>
    <s v="yes"/>
    <s v="yes"/>
    <s v="yes"/>
    <s v="yes"/>
    <n v="4"/>
    <n v="4"/>
    <n v="5"/>
    <n v="1"/>
    <n v="2"/>
    <n v="2"/>
    <n v="0"/>
    <n v="13"/>
    <n v="14"/>
    <x v="2"/>
    <s v="Pass"/>
    <n v="0"/>
    <n v="0"/>
    <n v="0"/>
    <n v="40"/>
    <n v="0"/>
    <n v="8"/>
    <x v="0"/>
  </r>
  <r>
    <s v="GP"/>
    <s v="F"/>
    <n v="18"/>
    <s v="U"/>
    <s v="GT3"/>
    <s v="T"/>
    <n v="4"/>
    <n v="3"/>
    <s v="other"/>
    <s v="other"/>
    <s v="reputation"/>
    <s v="father"/>
    <n v="1"/>
    <n v="4"/>
    <n v="0"/>
    <s v="no"/>
    <s v="yes"/>
    <s v="no"/>
    <s v="no"/>
    <s v="yes"/>
    <s v="yes"/>
    <s v="yes"/>
    <s v="no"/>
    <n v="4"/>
    <n v="3"/>
    <n v="3"/>
    <n v="1"/>
    <n v="1"/>
    <n v="3"/>
    <n v="0"/>
    <n v="16"/>
    <n v="17"/>
    <x v="4"/>
    <s v="Pass"/>
    <n v="0"/>
    <n v="0"/>
    <n v="0"/>
    <n v="0"/>
    <n v="0"/>
    <n v="0"/>
    <x v="0"/>
  </r>
  <r>
    <s v="GP"/>
    <s v="M"/>
    <n v="18"/>
    <s v="U"/>
    <s v="LE3"/>
    <s v="T"/>
    <n v="4"/>
    <n v="4"/>
    <s v="teacher"/>
    <s v="teacher"/>
    <s v="home"/>
    <s v="mother"/>
    <n v="1"/>
    <n v="1"/>
    <n v="0"/>
    <s v="no"/>
    <s v="yes"/>
    <s v="no"/>
    <s v="no"/>
    <s v="yes"/>
    <s v="yes"/>
    <s v="yes"/>
    <s v="yes"/>
    <n v="1"/>
    <n v="4"/>
    <n v="2"/>
    <n v="2"/>
    <n v="2"/>
    <n v="1"/>
    <n v="0"/>
    <n v="18"/>
    <n v="18"/>
    <x v="4"/>
    <s v="Pass"/>
    <n v="1"/>
    <n v="0"/>
    <n v="0"/>
    <n v="70"/>
    <n v="50"/>
    <n v="19"/>
    <x v="0"/>
  </r>
  <r>
    <s v="GP"/>
    <s v="F"/>
    <n v="18"/>
    <s v="U"/>
    <s v="LE3"/>
    <s v="A"/>
    <n v="4"/>
    <n v="4"/>
    <s v="health"/>
    <s v="other"/>
    <s v="home"/>
    <s v="mother"/>
    <n v="1"/>
    <n v="2"/>
    <n v="0"/>
    <s v="no"/>
    <s v="yes"/>
    <s v="yes"/>
    <s v="no"/>
    <s v="yes"/>
    <s v="yes"/>
    <s v="yes"/>
    <s v="yes"/>
    <n v="4"/>
    <n v="2"/>
    <n v="4"/>
    <n v="1"/>
    <n v="1"/>
    <n v="4"/>
    <n v="0"/>
    <n v="14"/>
    <n v="15"/>
    <x v="5"/>
    <s v="Pass"/>
    <n v="0"/>
    <n v="0"/>
    <n v="0"/>
    <n v="40"/>
    <n v="0"/>
    <n v="8"/>
    <x v="0"/>
  </r>
  <r>
    <s v="GP"/>
    <s v="M"/>
    <n v="17"/>
    <s v="U"/>
    <s v="LE3"/>
    <s v="T"/>
    <n v="4"/>
    <n v="4"/>
    <s v="other"/>
    <s v="teacher"/>
    <s v="home"/>
    <s v="father"/>
    <n v="2"/>
    <n v="1"/>
    <n v="0"/>
    <s v="no"/>
    <s v="no"/>
    <s v="no"/>
    <s v="no"/>
    <s v="yes"/>
    <s v="yes"/>
    <s v="yes"/>
    <s v="no"/>
    <n v="4"/>
    <n v="1"/>
    <n v="1"/>
    <n v="2"/>
    <n v="2"/>
    <n v="5"/>
    <n v="0"/>
    <n v="12"/>
    <n v="13"/>
    <x v="3"/>
    <s v="Pass"/>
    <n v="0"/>
    <n v="0"/>
    <n v="0"/>
    <n v="70"/>
    <n v="0"/>
    <n v="14"/>
    <x v="0"/>
  </r>
  <r>
    <s v="GP"/>
    <s v="F"/>
    <n v="17"/>
    <s v="R"/>
    <s v="GT3"/>
    <s v="T"/>
    <n v="4"/>
    <n v="4"/>
    <s v="services"/>
    <s v="services"/>
    <s v="reputation"/>
    <s v="mother"/>
    <n v="2"/>
    <n v="3"/>
    <n v="0"/>
    <s v="no"/>
    <s v="yes"/>
    <s v="no"/>
    <s v="yes"/>
    <s v="yes"/>
    <s v="yes"/>
    <s v="yes"/>
    <s v="no"/>
    <n v="5"/>
    <n v="3"/>
    <n v="4"/>
    <n v="1"/>
    <n v="1"/>
    <n v="5"/>
    <n v="0"/>
    <n v="7"/>
    <n v="7"/>
    <x v="10"/>
    <s v="Fail"/>
    <n v="0"/>
    <n v="0"/>
    <n v="0"/>
    <n v="0"/>
    <n v="0"/>
    <n v="0"/>
    <x v="0"/>
  </r>
  <r>
    <s v="GP"/>
    <s v="F"/>
    <n v="17"/>
    <s v="U"/>
    <s v="GT3"/>
    <s v="T"/>
    <n v="4"/>
    <n v="2"/>
    <s v="other"/>
    <s v="other"/>
    <s v="reputation"/>
    <s v="mother"/>
    <n v="2"/>
    <n v="3"/>
    <n v="0"/>
    <s v="no"/>
    <s v="yes"/>
    <s v="no"/>
    <s v="no"/>
    <s v="yes"/>
    <s v="yes"/>
    <s v="yes"/>
    <s v="no"/>
    <n v="4"/>
    <n v="3"/>
    <n v="3"/>
    <n v="1"/>
    <n v="1"/>
    <n v="3"/>
    <n v="0"/>
    <n v="16"/>
    <n v="16"/>
    <x v="8"/>
    <s v="Pass"/>
    <n v="0"/>
    <n v="0"/>
    <n v="0"/>
    <n v="0"/>
    <n v="0"/>
    <n v="0"/>
    <x v="0"/>
  </r>
  <r>
    <s v="GP"/>
    <s v="F"/>
    <n v="17"/>
    <s v="U"/>
    <s v="GT3"/>
    <s v="T"/>
    <n v="3"/>
    <n v="2"/>
    <s v="health"/>
    <s v="health"/>
    <s v="reputation"/>
    <s v="father"/>
    <n v="1"/>
    <n v="4"/>
    <n v="0"/>
    <s v="no"/>
    <s v="yes"/>
    <s v="no"/>
    <s v="yes"/>
    <s v="no"/>
    <s v="yes"/>
    <s v="yes"/>
    <s v="no"/>
    <n v="5"/>
    <n v="2"/>
    <n v="2"/>
    <n v="1"/>
    <n v="2"/>
    <n v="5"/>
    <n v="0"/>
    <n v="18"/>
    <n v="18"/>
    <x v="11"/>
    <s v="Pass"/>
    <n v="0"/>
    <n v="0"/>
    <n v="0"/>
    <n v="0"/>
    <n v="0"/>
    <n v="0"/>
    <x v="0"/>
  </r>
  <r>
    <s v="GP"/>
    <s v="M"/>
    <n v="19"/>
    <s v="R"/>
    <s v="LE3"/>
    <s v="T"/>
    <n v="2"/>
    <n v="1"/>
    <s v="at_home"/>
    <s v="services"/>
    <s v="course"/>
    <s v="mother"/>
    <n v="2"/>
    <n v="3"/>
    <n v="1"/>
    <s v="no"/>
    <s v="no"/>
    <s v="no"/>
    <s v="yes"/>
    <s v="yes"/>
    <s v="yes"/>
    <s v="yes"/>
    <s v="yes"/>
    <n v="4"/>
    <n v="3"/>
    <n v="1"/>
    <n v="1"/>
    <n v="1"/>
    <n v="5"/>
    <n v="0"/>
    <n v="9"/>
    <n v="10"/>
    <x v="0"/>
    <s v="Pass"/>
    <n v="0"/>
    <n v="60"/>
    <n v="0"/>
    <n v="0"/>
    <n v="0"/>
    <n v="24"/>
    <x v="0"/>
  </r>
  <r>
    <s v="GP"/>
    <s v="M"/>
    <n v="20"/>
    <s v="U"/>
    <s v="GT3"/>
    <s v="A"/>
    <n v="3"/>
    <n v="2"/>
    <s v="services"/>
    <s v="other"/>
    <s v="course"/>
    <s v="other"/>
    <n v="1"/>
    <n v="1"/>
    <n v="2"/>
    <s v="no"/>
    <s v="no"/>
    <s v="no"/>
    <s v="yes"/>
    <s v="yes"/>
    <s v="yes"/>
    <s v="no"/>
    <s v="no"/>
    <n v="5"/>
    <n v="5"/>
    <n v="3"/>
    <n v="1"/>
    <n v="1"/>
    <n v="5"/>
    <n v="0"/>
    <n v="14"/>
    <n v="15"/>
    <x v="5"/>
    <s v="Pass"/>
    <n v="0"/>
    <n v="100"/>
    <n v="0"/>
    <n v="70"/>
    <n v="0"/>
    <n v="54"/>
    <x v="1"/>
  </r>
  <r>
    <s v="GP"/>
    <s v="M"/>
    <n v="19"/>
    <s v="R"/>
    <s v="GT3"/>
    <s v="T"/>
    <n v="3"/>
    <n v="3"/>
    <s v="other"/>
    <s v="services"/>
    <s v="reputation"/>
    <s v="father"/>
    <n v="1"/>
    <n v="2"/>
    <n v="0"/>
    <s v="no"/>
    <s v="no"/>
    <s v="no"/>
    <s v="yes"/>
    <s v="yes"/>
    <s v="yes"/>
    <s v="no"/>
    <s v="yes"/>
    <n v="4"/>
    <n v="5"/>
    <n v="3"/>
    <n v="1"/>
    <n v="2"/>
    <n v="5"/>
    <n v="0"/>
    <n v="10"/>
    <n v="10"/>
    <x v="0"/>
    <s v="Pass"/>
    <n v="0"/>
    <n v="0"/>
    <n v="0"/>
    <n v="40"/>
    <n v="0"/>
    <n v="8"/>
    <x v="0"/>
  </r>
  <r>
    <s v="GP"/>
    <s v="F"/>
    <n v="18"/>
    <s v="U"/>
    <s v="GT3"/>
    <s v="T"/>
    <n v="1"/>
    <n v="4"/>
    <s v="other"/>
    <s v="teacher"/>
    <s v="home"/>
    <s v="mother"/>
    <n v="1"/>
    <n v="2"/>
    <n v="0"/>
    <s v="yes"/>
    <s v="yes"/>
    <s v="no"/>
    <s v="no"/>
    <s v="no"/>
    <s v="yes"/>
    <s v="no"/>
    <s v="yes"/>
    <n v="3"/>
    <n v="4"/>
    <n v="4"/>
    <n v="1"/>
    <n v="2"/>
    <n v="5"/>
    <n v="2"/>
    <n v="10"/>
    <n v="10"/>
    <x v="0"/>
    <s v="Pass"/>
    <n v="0"/>
    <n v="0"/>
    <n v="0"/>
    <n v="40"/>
    <n v="0"/>
    <n v="8"/>
    <x v="0"/>
  </r>
  <r>
    <s v="GP"/>
    <s v="F"/>
    <n v="18"/>
    <s v="U"/>
    <s v="GT3"/>
    <s v="T"/>
    <n v="2"/>
    <n v="1"/>
    <s v="services"/>
    <s v="other"/>
    <s v="course"/>
    <s v="mother"/>
    <n v="2"/>
    <n v="2"/>
    <n v="0"/>
    <s v="no"/>
    <s v="yes"/>
    <s v="no"/>
    <s v="yes"/>
    <s v="yes"/>
    <s v="yes"/>
    <s v="yes"/>
    <s v="no"/>
    <n v="5"/>
    <n v="3"/>
    <n v="3"/>
    <n v="1"/>
    <n v="2"/>
    <n v="1"/>
    <n v="2"/>
    <n v="12"/>
    <n v="12"/>
    <x v="5"/>
    <s v="Pass"/>
    <n v="0"/>
    <n v="0"/>
    <n v="0"/>
    <n v="40"/>
    <n v="0"/>
    <n v="8"/>
    <x v="0"/>
  </r>
  <r>
    <s v="GP"/>
    <s v="F"/>
    <n v="17"/>
    <s v="U"/>
    <s v="GT3"/>
    <s v="T"/>
    <n v="2"/>
    <n v="3"/>
    <s v="other"/>
    <s v="other"/>
    <s v="course"/>
    <s v="father"/>
    <n v="2"/>
    <n v="2"/>
    <n v="0"/>
    <s v="no"/>
    <s v="no"/>
    <s v="no"/>
    <s v="yes"/>
    <s v="yes"/>
    <s v="yes"/>
    <s v="yes"/>
    <s v="yes"/>
    <n v="4"/>
    <n v="2"/>
    <n v="1"/>
    <n v="1"/>
    <n v="1"/>
    <n v="3"/>
    <n v="2"/>
    <n v="11"/>
    <n v="12"/>
    <x v="2"/>
    <s v="Pass"/>
    <n v="0"/>
    <n v="0"/>
    <n v="0"/>
    <n v="40"/>
    <n v="0"/>
    <n v="8"/>
    <x v="0"/>
  </r>
  <r>
    <s v="GP"/>
    <s v="F"/>
    <n v="17"/>
    <s v="R"/>
    <s v="GT3"/>
    <s v="T"/>
    <n v="4"/>
    <n v="4"/>
    <s v="teacher"/>
    <s v="teacher"/>
    <s v="course"/>
    <s v="mother"/>
    <n v="1"/>
    <n v="1"/>
    <n v="0"/>
    <s v="no"/>
    <s v="no"/>
    <s v="no"/>
    <s v="yes"/>
    <s v="yes"/>
    <s v="yes"/>
    <s v="yes"/>
    <s v="no"/>
    <n v="4"/>
    <n v="4"/>
    <n v="4"/>
    <n v="1"/>
    <n v="1"/>
    <n v="5"/>
    <n v="2"/>
    <n v="15"/>
    <n v="16"/>
    <x v="4"/>
    <s v="Pass"/>
    <n v="0"/>
    <n v="0"/>
    <n v="0"/>
    <n v="70"/>
    <n v="0"/>
    <n v="14"/>
    <x v="0"/>
  </r>
  <r>
    <s v="GP"/>
    <s v="F"/>
    <n v="18"/>
    <s v="U"/>
    <s v="GT3"/>
    <s v="T"/>
    <n v="4"/>
    <n v="3"/>
    <s v="other"/>
    <s v="other"/>
    <s v="course"/>
    <s v="mother"/>
    <n v="1"/>
    <n v="3"/>
    <n v="0"/>
    <s v="no"/>
    <s v="yes"/>
    <s v="no"/>
    <s v="yes"/>
    <s v="yes"/>
    <s v="yes"/>
    <s v="yes"/>
    <s v="yes"/>
    <n v="4"/>
    <n v="3"/>
    <n v="4"/>
    <n v="1"/>
    <n v="1"/>
    <n v="5"/>
    <n v="2"/>
    <n v="14"/>
    <n v="15"/>
    <x v="4"/>
    <s v="Pass"/>
    <n v="0"/>
    <n v="0"/>
    <n v="0"/>
    <n v="0"/>
    <n v="0"/>
    <n v="0"/>
    <x v="0"/>
  </r>
  <r>
    <s v="GP"/>
    <s v="F"/>
    <n v="18"/>
    <s v="U"/>
    <s v="LE3"/>
    <s v="T"/>
    <n v="4"/>
    <n v="3"/>
    <s v="health"/>
    <s v="services"/>
    <s v="course"/>
    <s v="mother"/>
    <n v="2"/>
    <n v="1"/>
    <n v="0"/>
    <s v="no"/>
    <s v="yes"/>
    <s v="no"/>
    <s v="no"/>
    <s v="yes"/>
    <s v="yes"/>
    <s v="yes"/>
    <s v="no"/>
    <n v="3"/>
    <n v="2"/>
    <n v="4"/>
    <n v="1"/>
    <n v="4"/>
    <n v="1"/>
    <n v="8"/>
    <n v="12"/>
    <n v="12"/>
    <x v="5"/>
    <s v="Pass"/>
    <n v="0"/>
    <n v="0"/>
    <n v="0"/>
    <n v="70"/>
    <n v="0"/>
    <n v="14"/>
    <x v="0"/>
  </r>
  <r>
    <s v="GP"/>
    <s v="F"/>
    <n v="17"/>
    <s v="R"/>
    <s v="GT3"/>
    <s v="T"/>
    <n v="3"/>
    <n v="4"/>
    <s v="at_home"/>
    <s v="services"/>
    <s v="course"/>
    <s v="father"/>
    <n v="1"/>
    <n v="3"/>
    <n v="0"/>
    <s v="no"/>
    <s v="yes"/>
    <s v="no"/>
    <s v="yes"/>
    <s v="no"/>
    <s v="yes"/>
    <s v="yes"/>
    <s v="no"/>
    <n v="4"/>
    <n v="3"/>
    <n v="4"/>
    <n v="2"/>
    <n v="5"/>
    <n v="5"/>
    <n v="2"/>
    <n v="15"/>
    <n v="15"/>
    <x v="4"/>
    <s v="Pass"/>
    <n v="0"/>
    <n v="0"/>
    <n v="0"/>
    <n v="0"/>
    <n v="0"/>
    <n v="0"/>
    <x v="0"/>
  </r>
  <r>
    <s v="GP"/>
    <s v="F"/>
    <n v="18"/>
    <s v="U"/>
    <s v="GT3"/>
    <s v="T"/>
    <n v="3"/>
    <n v="3"/>
    <s v="at_home"/>
    <s v="other"/>
    <s v="course"/>
    <s v="father"/>
    <n v="1"/>
    <n v="2"/>
    <n v="0"/>
    <s v="no"/>
    <s v="yes"/>
    <s v="no"/>
    <s v="no"/>
    <s v="yes"/>
    <s v="yes"/>
    <s v="yes"/>
    <s v="no"/>
    <n v="4"/>
    <n v="1"/>
    <n v="4"/>
    <n v="1"/>
    <n v="1"/>
    <n v="3"/>
    <n v="8"/>
    <n v="11"/>
    <n v="12"/>
    <x v="2"/>
    <s v="Pass"/>
    <n v="0"/>
    <n v="0"/>
    <n v="0"/>
    <n v="40"/>
    <n v="0"/>
    <n v="8"/>
    <x v="0"/>
  </r>
  <r>
    <s v="GP"/>
    <s v="M"/>
    <n v="19"/>
    <s v="U"/>
    <s v="GT3"/>
    <s v="T"/>
    <n v="4"/>
    <n v="2"/>
    <s v="health"/>
    <s v="other"/>
    <s v="course"/>
    <s v="mother"/>
    <n v="2"/>
    <n v="2"/>
    <n v="0"/>
    <s v="no"/>
    <s v="yes"/>
    <s v="no"/>
    <s v="yes"/>
    <s v="yes"/>
    <s v="yes"/>
    <s v="yes"/>
    <s v="yes"/>
    <n v="5"/>
    <n v="4"/>
    <n v="4"/>
    <n v="1"/>
    <n v="1"/>
    <n v="1"/>
    <n v="9"/>
    <n v="11"/>
    <n v="10"/>
    <x v="7"/>
    <s v="Pass"/>
    <n v="0"/>
    <n v="0"/>
    <n v="0"/>
    <n v="40"/>
    <n v="0"/>
    <n v="8"/>
    <x v="0"/>
  </r>
  <r>
    <s v="GP"/>
    <s v="F"/>
    <n v="18"/>
    <s v="U"/>
    <s v="GT3"/>
    <s v="T"/>
    <n v="4"/>
    <n v="4"/>
    <s v="teacher"/>
    <s v="other"/>
    <s v="course"/>
    <s v="mother"/>
    <n v="1"/>
    <n v="2"/>
    <n v="0"/>
    <s v="no"/>
    <s v="yes"/>
    <s v="no"/>
    <s v="no"/>
    <s v="yes"/>
    <s v="yes"/>
    <s v="yes"/>
    <s v="no"/>
    <n v="4"/>
    <n v="4"/>
    <n v="4"/>
    <n v="3"/>
    <n v="3"/>
    <n v="5"/>
    <n v="0"/>
    <n v="12"/>
    <n v="11"/>
    <x v="3"/>
    <s v="Pass"/>
    <n v="0"/>
    <n v="0"/>
    <n v="0"/>
    <n v="40"/>
    <n v="0"/>
    <n v="8"/>
    <x v="0"/>
  </r>
  <r>
    <s v="GP"/>
    <s v="F"/>
    <n v="18"/>
    <s v="U"/>
    <s v="GT3"/>
    <s v="T"/>
    <n v="3"/>
    <n v="4"/>
    <s v="other"/>
    <s v="other"/>
    <s v="course"/>
    <s v="mother"/>
    <n v="1"/>
    <n v="1"/>
    <n v="0"/>
    <s v="no"/>
    <s v="yes"/>
    <s v="no"/>
    <s v="yes"/>
    <s v="yes"/>
    <s v="yes"/>
    <s v="yes"/>
    <s v="yes"/>
    <n v="5"/>
    <n v="4"/>
    <n v="4"/>
    <n v="1"/>
    <n v="1"/>
    <n v="1"/>
    <n v="4"/>
    <n v="11"/>
    <n v="12"/>
    <x v="2"/>
    <s v="Pass"/>
    <n v="0"/>
    <n v="0"/>
    <n v="0"/>
    <n v="70"/>
    <n v="0"/>
    <n v="14"/>
    <x v="0"/>
  </r>
  <r>
    <s v="GP"/>
    <s v="F"/>
    <n v="17"/>
    <s v="U"/>
    <s v="GT3"/>
    <s v="T"/>
    <n v="4"/>
    <n v="4"/>
    <s v="health"/>
    <s v="health"/>
    <s v="course"/>
    <s v="mother"/>
    <n v="1"/>
    <n v="1"/>
    <n v="0"/>
    <s v="no"/>
    <s v="no"/>
    <s v="no"/>
    <s v="yes"/>
    <s v="yes"/>
    <s v="yes"/>
    <s v="yes"/>
    <s v="no"/>
    <n v="5"/>
    <n v="3"/>
    <n v="4"/>
    <n v="1"/>
    <n v="2"/>
    <n v="5"/>
    <n v="2"/>
    <n v="14"/>
    <n v="15"/>
    <x v="4"/>
    <s v="Pass"/>
    <n v="0"/>
    <n v="0"/>
    <n v="0"/>
    <n v="70"/>
    <n v="0"/>
    <n v="14"/>
    <x v="0"/>
  </r>
  <r>
    <s v="GP"/>
    <s v="F"/>
    <n v="17"/>
    <s v="U"/>
    <s v="GT3"/>
    <s v="A"/>
    <n v="4"/>
    <n v="3"/>
    <s v="services"/>
    <s v="services"/>
    <s v="course"/>
    <s v="mother"/>
    <n v="1"/>
    <n v="2"/>
    <n v="0"/>
    <s v="no"/>
    <s v="yes"/>
    <s v="no"/>
    <s v="no"/>
    <s v="yes"/>
    <s v="yes"/>
    <s v="yes"/>
    <s v="yes"/>
    <n v="5"/>
    <n v="2"/>
    <n v="2"/>
    <n v="1"/>
    <n v="2"/>
    <n v="5"/>
    <n v="14"/>
    <n v="15"/>
    <n v="14"/>
    <x v="4"/>
    <s v="Pass"/>
    <n v="0"/>
    <n v="0"/>
    <n v="50"/>
    <n v="40"/>
    <n v="0"/>
    <n v="23"/>
    <x v="0"/>
  </r>
  <r>
    <s v="GP"/>
    <s v="F"/>
    <n v="17"/>
    <s v="U"/>
    <s v="LE3"/>
    <s v="A"/>
    <n v="3"/>
    <n v="3"/>
    <s v="services"/>
    <s v="other"/>
    <s v="home"/>
    <s v="mother"/>
    <n v="1"/>
    <n v="2"/>
    <n v="0"/>
    <s v="yes"/>
    <s v="yes"/>
    <s v="no"/>
    <s v="no"/>
    <s v="yes"/>
    <s v="yes"/>
    <s v="yes"/>
    <s v="no"/>
    <n v="5"/>
    <n v="3"/>
    <n v="3"/>
    <n v="1"/>
    <n v="1"/>
    <n v="5"/>
    <n v="0"/>
    <n v="12"/>
    <n v="12"/>
    <x v="3"/>
    <s v="Pass"/>
    <n v="0"/>
    <n v="0"/>
    <n v="0"/>
    <n v="40"/>
    <n v="0"/>
    <n v="8"/>
    <x v="0"/>
  </r>
  <r>
    <s v="GP"/>
    <s v="F"/>
    <n v="17"/>
    <s v="U"/>
    <s v="LE3"/>
    <s v="T"/>
    <n v="2"/>
    <n v="1"/>
    <s v="other"/>
    <s v="other"/>
    <s v="home"/>
    <s v="father"/>
    <n v="1"/>
    <n v="2"/>
    <n v="0"/>
    <s v="no"/>
    <s v="no"/>
    <s v="no"/>
    <s v="yes"/>
    <s v="yes"/>
    <s v="yes"/>
    <s v="yes"/>
    <s v="no"/>
    <n v="4"/>
    <n v="2"/>
    <n v="3"/>
    <n v="2"/>
    <n v="2"/>
    <n v="2"/>
    <n v="2"/>
    <n v="11"/>
    <n v="12"/>
    <x v="2"/>
    <s v="Pass"/>
    <n v="0"/>
    <n v="0"/>
    <n v="0"/>
    <n v="40"/>
    <n v="0"/>
    <n v="8"/>
    <x v="0"/>
  </r>
  <r>
    <s v="GP"/>
    <s v="M"/>
    <n v="18"/>
    <s v="U"/>
    <s v="LE3"/>
    <s v="T"/>
    <n v="4"/>
    <n v="4"/>
    <s v="other"/>
    <s v="other"/>
    <s v="reputation"/>
    <s v="father"/>
    <n v="1"/>
    <n v="1"/>
    <n v="0"/>
    <s v="no"/>
    <s v="yes"/>
    <s v="no"/>
    <s v="no"/>
    <s v="yes"/>
    <s v="yes"/>
    <s v="yes"/>
    <s v="no"/>
    <n v="4"/>
    <n v="2"/>
    <n v="5"/>
    <n v="3"/>
    <n v="4"/>
    <n v="5"/>
    <n v="2"/>
    <n v="8"/>
    <n v="9"/>
    <x v="0"/>
    <s v="Pass"/>
    <n v="0"/>
    <n v="0"/>
    <n v="0"/>
    <n v="70"/>
    <n v="0"/>
    <n v="14"/>
    <x v="0"/>
  </r>
  <r>
    <s v="GP"/>
    <s v="F"/>
    <n v="19"/>
    <s v="U"/>
    <s v="GT3"/>
    <s v="T"/>
    <n v="1"/>
    <n v="1"/>
    <s v="other"/>
    <s v="other"/>
    <s v="course"/>
    <s v="other"/>
    <n v="3"/>
    <n v="3"/>
    <n v="0"/>
    <s v="no"/>
    <s v="no"/>
    <s v="no"/>
    <s v="yes"/>
    <s v="yes"/>
    <s v="no"/>
    <s v="no"/>
    <s v="yes"/>
    <n v="1"/>
    <n v="5"/>
    <n v="5"/>
    <n v="4"/>
    <n v="3"/>
    <n v="5"/>
    <n v="12"/>
    <n v="10"/>
    <n v="10"/>
    <x v="0"/>
    <s v="Pass"/>
    <n v="0"/>
    <n v="0"/>
    <n v="50"/>
    <n v="0"/>
    <n v="0"/>
    <n v="15"/>
    <x v="0"/>
  </r>
  <r>
    <s v="GP"/>
    <s v="F"/>
    <n v="19"/>
    <s v="U"/>
    <s v="LE3"/>
    <s v="A"/>
    <n v="1"/>
    <n v="1"/>
    <s v="other"/>
    <s v="other"/>
    <s v="course"/>
    <s v="other"/>
    <n v="3"/>
    <n v="2"/>
    <n v="2"/>
    <s v="no"/>
    <s v="yes"/>
    <s v="no"/>
    <s v="no"/>
    <s v="no"/>
    <s v="yes"/>
    <s v="yes"/>
    <s v="yes"/>
    <n v="5"/>
    <n v="3"/>
    <n v="4"/>
    <n v="1"/>
    <n v="1"/>
    <n v="4"/>
    <n v="2"/>
    <n v="8"/>
    <n v="8"/>
    <x v="9"/>
    <s v="Fail"/>
    <n v="0"/>
    <n v="100"/>
    <n v="0"/>
    <n v="40"/>
    <n v="0"/>
    <n v="48"/>
    <x v="1"/>
  </r>
  <r>
    <s v="GP"/>
    <s v="F"/>
    <n v="18"/>
    <s v="U"/>
    <s v="GT3"/>
    <s v="T"/>
    <n v="2"/>
    <n v="2"/>
    <s v="other"/>
    <s v="other"/>
    <s v="course"/>
    <s v="mother"/>
    <n v="1"/>
    <n v="1"/>
    <n v="0"/>
    <s v="no"/>
    <s v="yes"/>
    <s v="no"/>
    <s v="yes"/>
    <s v="yes"/>
    <s v="yes"/>
    <s v="yes"/>
    <s v="yes"/>
    <n v="4"/>
    <n v="3"/>
    <n v="5"/>
    <n v="2"/>
    <n v="4"/>
    <n v="5"/>
    <n v="2"/>
    <n v="10"/>
    <n v="10"/>
    <x v="7"/>
    <s v="Pass"/>
    <n v="0"/>
    <n v="0"/>
    <n v="0"/>
    <n v="70"/>
    <n v="0"/>
    <n v="14"/>
    <x v="0"/>
  </r>
  <r>
    <s v="GP"/>
    <s v="F"/>
    <n v="17"/>
    <s v="U"/>
    <s v="GT3"/>
    <s v="T"/>
    <n v="2"/>
    <n v="2"/>
    <s v="other"/>
    <s v="other"/>
    <s v="course"/>
    <s v="mother"/>
    <n v="1"/>
    <n v="2"/>
    <n v="0"/>
    <s v="no"/>
    <s v="yes"/>
    <s v="no"/>
    <s v="no"/>
    <s v="yes"/>
    <s v="yes"/>
    <s v="no"/>
    <s v="yes"/>
    <n v="4"/>
    <n v="2"/>
    <n v="2"/>
    <n v="1"/>
    <n v="1"/>
    <n v="3"/>
    <n v="4"/>
    <n v="14"/>
    <n v="13"/>
    <x v="3"/>
    <s v="Pass"/>
    <n v="0"/>
    <n v="0"/>
    <n v="0"/>
    <n v="40"/>
    <n v="0"/>
    <n v="8"/>
    <x v="0"/>
  </r>
  <r>
    <s v="GP"/>
    <s v="F"/>
    <n v="17"/>
    <s v="R"/>
    <s v="LE3"/>
    <s v="T"/>
    <n v="2"/>
    <n v="2"/>
    <s v="services"/>
    <s v="services"/>
    <s v="course"/>
    <s v="mother"/>
    <n v="1"/>
    <n v="3"/>
    <n v="0"/>
    <s v="no"/>
    <s v="yes"/>
    <s v="no"/>
    <s v="yes"/>
    <s v="yes"/>
    <s v="yes"/>
    <s v="yes"/>
    <s v="no"/>
    <n v="3"/>
    <n v="3"/>
    <n v="2"/>
    <n v="2"/>
    <n v="2"/>
    <n v="3"/>
    <n v="0"/>
    <n v="11"/>
    <n v="11"/>
    <x v="7"/>
    <s v="Pass"/>
    <n v="1"/>
    <n v="0"/>
    <n v="0"/>
    <n v="0"/>
    <n v="50"/>
    <n v="5"/>
    <x v="0"/>
  </r>
  <r>
    <s v="GP"/>
    <s v="F"/>
    <n v="17"/>
    <s v="U"/>
    <s v="GT3"/>
    <s v="T"/>
    <n v="3"/>
    <n v="1"/>
    <s v="services"/>
    <s v="services"/>
    <s v="course"/>
    <s v="father"/>
    <n v="1"/>
    <n v="3"/>
    <n v="0"/>
    <s v="no"/>
    <s v="yes"/>
    <s v="no"/>
    <s v="no"/>
    <s v="no"/>
    <s v="yes"/>
    <s v="yes"/>
    <s v="no"/>
    <n v="3"/>
    <n v="4"/>
    <n v="3"/>
    <n v="2"/>
    <n v="3"/>
    <n v="5"/>
    <n v="0"/>
    <n v="17"/>
    <n v="18"/>
    <x v="4"/>
    <s v="Pass"/>
    <n v="1"/>
    <n v="0"/>
    <n v="0"/>
    <n v="0"/>
    <n v="50"/>
    <n v="5"/>
    <x v="0"/>
  </r>
  <r>
    <s v="GP"/>
    <s v="F"/>
    <n v="17"/>
    <s v="U"/>
    <s v="LE3"/>
    <s v="T"/>
    <n v="0"/>
    <n v="2"/>
    <s v="at_home"/>
    <s v="at_home"/>
    <s v="home"/>
    <s v="father"/>
    <n v="2"/>
    <n v="3"/>
    <n v="0"/>
    <s v="no"/>
    <s v="no"/>
    <s v="no"/>
    <s v="no"/>
    <s v="yes"/>
    <s v="yes"/>
    <s v="yes"/>
    <s v="no"/>
    <n v="3"/>
    <n v="3"/>
    <n v="3"/>
    <n v="2"/>
    <n v="3"/>
    <n v="2"/>
    <n v="0"/>
    <n v="14"/>
    <n v="14"/>
    <x v="5"/>
    <s v="Pass"/>
    <n v="0"/>
    <n v="0"/>
    <n v="0"/>
    <n v="0"/>
    <n v="0"/>
    <n v="0"/>
    <x v="0"/>
  </r>
  <r>
    <s v="GP"/>
    <s v="F"/>
    <n v="18"/>
    <s v="U"/>
    <s v="GT3"/>
    <s v="T"/>
    <n v="1"/>
    <n v="1"/>
    <s v="other"/>
    <s v="other"/>
    <s v="home"/>
    <s v="mother"/>
    <n v="2"/>
    <n v="3"/>
    <n v="0"/>
    <s v="no"/>
    <s v="no"/>
    <s v="no"/>
    <s v="yes"/>
    <s v="yes"/>
    <s v="yes"/>
    <s v="yes"/>
    <s v="no"/>
    <n v="4"/>
    <n v="5"/>
    <n v="5"/>
    <n v="1"/>
    <n v="2"/>
    <n v="2"/>
    <n v="0"/>
    <n v="14"/>
    <n v="14"/>
    <x v="2"/>
    <s v="Pass"/>
    <n v="0"/>
    <n v="0"/>
    <n v="0"/>
    <n v="0"/>
    <n v="0"/>
    <n v="0"/>
    <x v="0"/>
  </r>
  <r>
    <s v="GP"/>
    <s v="M"/>
    <n v="18"/>
    <s v="U"/>
    <s v="GT3"/>
    <s v="T"/>
    <n v="4"/>
    <n v="4"/>
    <s v="other"/>
    <s v="other"/>
    <s v="course"/>
    <s v="mother"/>
    <n v="1"/>
    <n v="3"/>
    <n v="0"/>
    <s v="no"/>
    <s v="no"/>
    <s v="no"/>
    <s v="yes"/>
    <s v="yes"/>
    <s v="yes"/>
    <s v="yes"/>
    <s v="no"/>
    <n v="4"/>
    <n v="3"/>
    <n v="3"/>
    <n v="2"/>
    <n v="2"/>
    <n v="3"/>
    <n v="0"/>
    <n v="13"/>
    <n v="14"/>
    <x v="3"/>
    <s v="Pass"/>
    <n v="1"/>
    <n v="0"/>
    <n v="0"/>
    <n v="0"/>
    <n v="50"/>
    <n v="5"/>
    <x v="0"/>
  </r>
  <r>
    <s v="GP"/>
    <s v="M"/>
    <n v="17"/>
    <s v="U"/>
    <s v="GT3"/>
    <s v="T"/>
    <n v="3"/>
    <n v="3"/>
    <s v="other"/>
    <s v="services"/>
    <s v="reputation"/>
    <s v="mother"/>
    <n v="1"/>
    <n v="1"/>
    <n v="0"/>
    <s v="no"/>
    <s v="no"/>
    <s v="no"/>
    <s v="yes"/>
    <s v="no"/>
    <s v="yes"/>
    <s v="yes"/>
    <s v="no"/>
    <n v="4"/>
    <n v="3"/>
    <n v="5"/>
    <n v="3"/>
    <n v="5"/>
    <n v="5"/>
    <n v="0"/>
    <n v="17"/>
    <n v="18"/>
    <x v="4"/>
    <s v="Pass"/>
    <n v="1"/>
    <n v="0"/>
    <n v="0"/>
    <n v="70"/>
    <n v="50"/>
    <n v="19"/>
    <x v="0"/>
  </r>
  <r>
    <s v="GP"/>
    <s v="M"/>
    <n v="17"/>
    <s v="R"/>
    <s v="GT3"/>
    <s v="T"/>
    <n v="2"/>
    <n v="2"/>
    <s v="services"/>
    <s v="other"/>
    <s v="course"/>
    <s v="mother"/>
    <n v="4"/>
    <n v="1"/>
    <n v="0"/>
    <s v="no"/>
    <s v="yes"/>
    <s v="no"/>
    <s v="no"/>
    <s v="yes"/>
    <s v="yes"/>
    <s v="yes"/>
    <s v="no"/>
    <n v="4"/>
    <n v="4"/>
    <n v="5"/>
    <n v="5"/>
    <n v="5"/>
    <n v="4"/>
    <n v="2"/>
    <n v="11"/>
    <n v="10"/>
    <x v="7"/>
    <s v="Pass"/>
    <n v="0"/>
    <n v="0"/>
    <n v="0"/>
    <n v="70"/>
    <n v="0"/>
    <n v="14"/>
    <x v="0"/>
  </r>
  <r>
    <s v="GP"/>
    <s v="F"/>
    <n v="17"/>
    <s v="U"/>
    <s v="GT3"/>
    <s v="T"/>
    <n v="4"/>
    <n v="4"/>
    <s v="teacher"/>
    <s v="services"/>
    <s v="course"/>
    <s v="mother"/>
    <n v="1"/>
    <n v="3"/>
    <n v="0"/>
    <s v="no"/>
    <s v="yes"/>
    <s v="no"/>
    <s v="yes"/>
    <s v="yes"/>
    <s v="yes"/>
    <s v="yes"/>
    <s v="no"/>
    <n v="5"/>
    <n v="4"/>
    <n v="4"/>
    <n v="1"/>
    <n v="3"/>
    <n v="4"/>
    <n v="0"/>
    <n v="13"/>
    <n v="12"/>
    <x v="3"/>
    <s v="Pass"/>
    <n v="0"/>
    <n v="0"/>
    <n v="0"/>
    <n v="0"/>
    <n v="0"/>
    <n v="0"/>
    <x v="0"/>
  </r>
  <r>
    <s v="GP"/>
    <s v="F"/>
    <n v="17"/>
    <s v="U"/>
    <s v="GT3"/>
    <s v="T"/>
    <n v="4"/>
    <n v="4"/>
    <s v="teacher"/>
    <s v="teacher"/>
    <s v="course"/>
    <s v="mother"/>
    <n v="2"/>
    <n v="3"/>
    <n v="0"/>
    <s v="no"/>
    <s v="yes"/>
    <s v="no"/>
    <s v="no"/>
    <s v="no"/>
    <s v="yes"/>
    <s v="yes"/>
    <s v="yes"/>
    <n v="4"/>
    <n v="3"/>
    <n v="3"/>
    <n v="1"/>
    <n v="2"/>
    <n v="4"/>
    <n v="4"/>
    <n v="15"/>
    <n v="14"/>
    <x v="5"/>
    <s v="Pass"/>
    <n v="0"/>
    <n v="0"/>
    <n v="0"/>
    <n v="0"/>
    <n v="0"/>
    <n v="0"/>
    <x v="0"/>
  </r>
  <r>
    <s v="GP"/>
    <s v="F"/>
    <n v="17"/>
    <s v="U"/>
    <s v="GT3"/>
    <s v="T"/>
    <n v="3"/>
    <n v="3"/>
    <s v="at_home"/>
    <s v="other"/>
    <s v="course"/>
    <s v="mother"/>
    <n v="1"/>
    <n v="1"/>
    <n v="0"/>
    <s v="no"/>
    <s v="yes"/>
    <s v="yes"/>
    <s v="yes"/>
    <s v="yes"/>
    <s v="yes"/>
    <s v="yes"/>
    <s v="no"/>
    <n v="4"/>
    <n v="2"/>
    <n v="5"/>
    <n v="2"/>
    <n v="5"/>
    <n v="5"/>
    <n v="2"/>
    <n v="11"/>
    <n v="12"/>
    <x v="0"/>
    <s v="Pass"/>
    <n v="1"/>
    <n v="0"/>
    <n v="0"/>
    <n v="70"/>
    <n v="50"/>
    <n v="19"/>
    <x v="0"/>
  </r>
  <r>
    <s v="GP"/>
    <s v="M"/>
    <n v="18"/>
    <s v="U"/>
    <s v="LE3"/>
    <s v="T"/>
    <n v="2"/>
    <n v="2"/>
    <s v="other"/>
    <s v="other"/>
    <s v="course"/>
    <s v="mother"/>
    <n v="1"/>
    <n v="4"/>
    <n v="0"/>
    <s v="no"/>
    <s v="yes"/>
    <s v="yes"/>
    <s v="yes"/>
    <s v="yes"/>
    <s v="yes"/>
    <s v="yes"/>
    <s v="no"/>
    <n v="4"/>
    <n v="5"/>
    <n v="5"/>
    <n v="2"/>
    <n v="4"/>
    <n v="5"/>
    <n v="0"/>
    <n v="11"/>
    <n v="11"/>
    <x v="1"/>
    <s v="Pass"/>
    <n v="0"/>
    <n v="0"/>
    <n v="0"/>
    <n v="0"/>
    <n v="0"/>
    <n v="0"/>
    <x v="0"/>
  </r>
  <r>
    <s v="GP"/>
    <s v="M"/>
    <n v="19"/>
    <s v="R"/>
    <s v="GT3"/>
    <s v="T"/>
    <n v="3"/>
    <n v="2"/>
    <s v="at_home"/>
    <s v="services"/>
    <s v="home"/>
    <s v="other"/>
    <n v="1"/>
    <n v="1"/>
    <n v="0"/>
    <s v="no"/>
    <s v="yes"/>
    <s v="no"/>
    <s v="no"/>
    <s v="no"/>
    <s v="yes"/>
    <s v="no"/>
    <s v="yes"/>
    <n v="5"/>
    <n v="3"/>
    <n v="4"/>
    <n v="2"/>
    <n v="2"/>
    <n v="5"/>
    <n v="0"/>
    <n v="11"/>
    <n v="10"/>
    <x v="7"/>
    <s v="Pass"/>
    <n v="0"/>
    <n v="0"/>
    <n v="0"/>
    <n v="70"/>
    <n v="0"/>
    <n v="14"/>
    <x v="0"/>
  </r>
  <r>
    <s v="GP"/>
    <s v="F"/>
    <n v="18"/>
    <s v="U"/>
    <s v="GT3"/>
    <s v="T"/>
    <n v="2"/>
    <n v="2"/>
    <s v="at_home"/>
    <s v="other"/>
    <s v="course"/>
    <s v="mother"/>
    <n v="4"/>
    <n v="2"/>
    <n v="0"/>
    <s v="no"/>
    <s v="no"/>
    <s v="no"/>
    <s v="yes"/>
    <s v="yes"/>
    <s v="yes"/>
    <s v="no"/>
    <s v="yes"/>
    <n v="4"/>
    <n v="2"/>
    <n v="5"/>
    <n v="1"/>
    <n v="1"/>
    <n v="2"/>
    <n v="2"/>
    <n v="10"/>
    <n v="9"/>
    <x v="7"/>
    <s v="Pass"/>
    <n v="0"/>
    <n v="0"/>
    <n v="0"/>
    <n v="40"/>
    <n v="0"/>
    <n v="8"/>
    <x v="0"/>
  </r>
  <r>
    <s v="GP"/>
    <s v="F"/>
    <n v="17"/>
    <s v="R"/>
    <s v="GT3"/>
    <s v="T"/>
    <n v="2"/>
    <n v="4"/>
    <s v="at_home"/>
    <s v="other"/>
    <s v="course"/>
    <s v="father"/>
    <n v="1"/>
    <n v="3"/>
    <n v="0"/>
    <s v="no"/>
    <s v="yes"/>
    <s v="no"/>
    <s v="no"/>
    <s v="yes"/>
    <s v="yes"/>
    <s v="yes"/>
    <s v="yes"/>
    <n v="4"/>
    <n v="4"/>
    <n v="3"/>
    <n v="1"/>
    <n v="1"/>
    <n v="5"/>
    <n v="0"/>
    <n v="15"/>
    <n v="15"/>
    <x v="5"/>
    <s v="Pass"/>
    <n v="0"/>
    <n v="0"/>
    <n v="0"/>
    <n v="0"/>
    <n v="0"/>
    <n v="0"/>
    <x v="0"/>
  </r>
  <r>
    <s v="GP"/>
    <s v="M"/>
    <n v="18"/>
    <s v="U"/>
    <s v="GT3"/>
    <s v="T"/>
    <n v="2"/>
    <n v="2"/>
    <s v="other"/>
    <s v="other"/>
    <s v="reputation"/>
    <s v="mother"/>
    <n v="1"/>
    <n v="1"/>
    <n v="0"/>
    <s v="no"/>
    <s v="no"/>
    <s v="no"/>
    <s v="no"/>
    <s v="no"/>
    <s v="yes"/>
    <s v="yes"/>
    <s v="no"/>
    <n v="5"/>
    <n v="4"/>
    <n v="2"/>
    <n v="1"/>
    <n v="2"/>
    <n v="5"/>
    <n v="6"/>
    <n v="15"/>
    <n v="14"/>
    <x v="5"/>
    <s v="Pass"/>
    <n v="0"/>
    <n v="0"/>
    <n v="0"/>
    <n v="70"/>
    <n v="0"/>
    <n v="14"/>
    <x v="0"/>
  </r>
  <r>
    <s v="GP"/>
    <s v="F"/>
    <n v="18"/>
    <s v="U"/>
    <s v="GT3"/>
    <s v="T"/>
    <n v="3"/>
    <n v="3"/>
    <s v="services"/>
    <s v="services"/>
    <s v="home"/>
    <s v="mother"/>
    <n v="1"/>
    <n v="2"/>
    <n v="0"/>
    <s v="no"/>
    <s v="no"/>
    <s v="no"/>
    <s v="yes"/>
    <s v="yes"/>
    <s v="yes"/>
    <s v="yes"/>
    <s v="no"/>
    <n v="5"/>
    <n v="3"/>
    <n v="4"/>
    <n v="1"/>
    <n v="1"/>
    <n v="4"/>
    <n v="8"/>
    <n v="10"/>
    <n v="11"/>
    <x v="1"/>
    <s v="Pass"/>
    <n v="0"/>
    <n v="0"/>
    <n v="0"/>
    <n v="40"/>
    <n v="0"/>
    <n v="8"/>
    <x v="0"/>
  </r>
  <r>
    <s v="GP"/>
    <s v="F"/>
    <n v="18"/>
    <s v="U"/>
    <s v="LE3"/>
    <s v="T"/>
    <n v="2"/>
    <n v="2"/>
    <s v="other"/>
    <s v="other"/>
    <s v="home"/>
    <s v="other"/>
    <n v="1"/>
    <n v="2"/>
    <n v="0"/>
    <s v="no"/>
    <s v="no"/>
    <s v="no"/>
    <s v="yes"/>
    <s v="no"/>
    <s v="yes"/>
    <s v="yes"/>
    <s v="yes"/>
    <n v="4"/>
    <n v="3"/>
    <n v="3"/>
    <n v="1"/>
    <n v="1"/>
    <n v="2"/>
    <n v="0"/>
    <n v="10"/>
    <n v="9"/>
    <x v="1"/>
    <s v="Pass"/>
    <n v="0"/>
    <n v="0"/>
    <n v="0"/>
    <n v="40"/>
    <n v="0"/>
    <n v="8"/>
    <x v="0"/>
  </r>
  <r>
    <s v="GP"/>
    <s v="F"/>
    <n v="18"/>
    <s v="R"/>
    <s v="GT3"/>
    <s v="T"/>
    <n v="2"/>
    <n v="2"/>
    <s v="at_home"/>
    <s v="other"/>
    <s v="course"/>
    <s v="mother"/>
    <n v="2"/>
    <n v="4"/>
    <n v="0"/>
    <s v="no"/>
    <s v="no"/>
    <s v="no"/>
    <s v="yes"/>
    <s v="yes"/>
    <s v="yes"/>
    <s v="no"/>
    <s v="no"/>
    <n v="4"/>
    <n v="4"/>
    <n v="4"/>
    <n v="1"/>
    <n v="1"/>
    <n v="4"/>
    <n v="6"/>
    <n v="14"/>
    <n v="13"/>
    <x v="2"/>
    <s v="Pass"/>
    <n v="0"/>
    <n v="0"/>
    <n v="0"/>
    <n v="0"/>
    <n v="0"/>
    <n v="0"/>
    <x v="0"/>
  </r>
  <r>
    <s v="GP"/>
    <s v="F"/>
    <n v="17"/>
    <s v="U"/>
    <s v="GT3"/>
    <s v="T"/>
    <n v="3"/>
    <n v="4"/>
    <s v="services"/>
    <s v="other"/>
    <s v="course"/>
    <s v="mother"/>
    <n v="1"/>
    <n v="3"/>
    <n v="0"/>
    <s v="no"/>
    <s v="no"/>
    <s v="no"/>
    <s v="no"/>
    <s v="yes"/>
    <s v="yes"/>
    <s v="yes"/>
    <s v="no"/>
    <n v="4"/>
    <n v="4"/>
    <n v="5"/>
    <n v="1"/>
    <n v="3"/>
    <n v="5"/>
    <n v="8"/>
    <n v="11"/>
    <n v="13"/>
    <x v="2"/>
    <s v="Pass"/>
    <n v="0"/>
    <n v="0"/>
    <n v="0"/>
    <n v="0"/>
    <n v="0"/>
    <n v="0"/>
    <x v="0"/>
  </r>
  <r>
    <s v="GP"/>
    <s v="F"/>
    <n v="17"/>
    <s v="U"/>
    <s v="GT3"/>
    <s v="T"/>
    <n v="3"/>
    <n v="2"/>
    <s v="other"/>
    <s v="other"/>
    <s v="home"/>
    <s v="mother"/>
    <n v="1"/>
    <n v="2"/>
    <n v="0"/>
    <s v="no"/>
    <s v="yes"/>
    <s v="no"/>
    <s v="no"/>
    <s v="yes"/>
    <s v="yes"/>
    <s v="yes"/>
    <s v="yes"/>
    <n v="4"/>
    <n v="3"/>
    <n v="2"/>
    <n v="2"/>
    <n v="3"/>
    <n v="2"/>
    <n v="0"/>
    <n v="12"/>
    <n v="13"/>
    <x v="5"/>
    <s v="Pass"/>
    <n v="0"/>
    <n v="0"/>
    <n v="0"/>
    <n v="40"/>
    <n v="0"/>
    <n v="8"/>
    <x v="0"/>
  </r>
  <r>
    <s v="GP"/>
    <s v="F"/>
    <n v="18"/>
    <s v="U"/>
    <s v="LE3"/>
    <s v="T"/>
    <n v="3"/>
    <n v="3"/>
    <s v="services"/>
    <s v="services"/>
    <s v="home"/>
    <s v="mother"/>
    <n v="1"/>
    <n v="4"/>
    <n v="0"/>
    <s v="no"/>
    <s v="yes"/>
    <s v="no"/>
    <s v="no"/>
    <s v="yes"/>
    <s v="yes"/>
    <s v="yes"/>
    <s v="no"/>
    <n v="5"/>
    <n v="3"/>
    <n v="3"/>
    <n v="1"/>
    <n v="1"/>
    <n v="1"/>
    <n v="4"/>
    <n v="14"/>
    <n v="14"/>
    <x v="5"/>
    <s v="Pass"/>
    <n v="0"/>
    <n v="0"/>
    <n v="0"/>
    <n v="0"/>
    <n v="0"/>
    <n v="0"/>
    <x v="0"/>
  </r>
  <r>
    <s v="GP"/>
    <s v="F"/>
    <n v="17"/>
    <s v="R"/>
    <s v="GT3"/>
    <s v="A"/>
    <n v="3"/>
    <n v="2"/>
    <s v="other"/>
    <s v="other"/>
    <s v="home"/>
    <s v="mother"/>
    <n v="1"/>
    <n v="2"/>
    <n v="0"/>
    <s v="no"/>
    <s v="yes"/>
    <s v="no"/>
    <s v="no"/>
    <s v="yes"/>
    <s v="yes"/>
    <s v="yes"/>
    <s v="no"/>
    <n v="4"/>
    <n v="3"/>
    <n v="3"/>
    <n v="2"/>
    <n v="3"/>
    <n v="2"/>
    <n v="0"/>
    <n v="14"/>
    <n v="14"/>
    <x v="8"/>
    <s v="Pass"/>
    <n v="0"/>
    <n v="0"/>
    <n v="0"/>
    <n v="40"/>
    <n v="0"/>
    <n v="8"/>
    <x v="0"/>
  </r>
  <r>
    <s v="GP"/>
    <s v="M"/>
    <n v="18"/>
    <s v="U"/>
    <s v="GT3"/>
    <s v="T"/>
    <n v="4"/>
    <n v="4"/>
    <s v="teacher"/>
    <s v="services"/>
    <s v="home"/>
    <s v="father"/>
    <n v="1"/>
    <n v="2"/>
    <n v="0"/>
    <s v="no"/>
    <s v="yes"/>
    <s v="no"/>
    <s v="yes"/>
    <s v="yes"/>
    <s v="yes"/>
    <s v="yes"/>
    <s v="no"/>
    <n v="4"/>
    <n v="3"/>
    <n v="3"/>
    <n v="2"/>
    <n v="2"/>
    <n v="2"/>
    <n v="0"/>
    <n v="12"/>
    <n v="12"/>
    <x v="3"/>
    <s v="Pass"/>
    <n v="0"/>
    <n v="0"/>
    <n v="0"/>
    <n v="40"/>
    <n v="0"/>
    <n v="8"/>
    <x v="0"/>
  </r>
  <r>
    <s v="GP"/>
    <s v="M"/>
    <n v="18"/>
    <s v="U"/>
    <s v="LE3"/>
    <s v="T"/>
    <n v="3"/>
    <n v="4"/>
    <s v="services"/>
    <s v="other"/>
    <s v="home"/>
    <s v="mother"/>
    <n v="1"/>
    <n v="2"/>
    <n v="0"/>
    <s v="no"/>
    <s v="no"/>
    <s v="no"/>
    <s v="yes"/>
    <s v="yes"/>
    <s v="yes"/>
    <s v="yes"/>
    <s v="yes"/>
    <n v="4"/>
    <n v="3"/>
    <n v="3"/>
    <n v="1"/>
    <n v="3"/>
    <n v="5"/>
    <n v="6"/>
    <n v="16"/>
    <n v="16"/>
    <x v="4"/>
    <s v="Pass"/>
    <n v="0"/>
    <n v="0"/>
    <n v="0"/>
    <n v="40"/>
    <n v="0"/>
    <n v="8"/>
    <x v="0"/>
  </r>
  <r>
    <s v="GP"/>
    <s v="F"/>
    <n v="17"/>
    <s v="U"/>
    <s v="GT3"/>
    <s v="A"/>
    <n v="2"/>
    <n v="2"/>
    <s v="at_home"/>
    <s v="at_home"/>
    <s v="home"/>
    <s v="father"/>
    <n v="1"/>
    <n v="2"/>
    <n v="0"/>
    <s v="no"/>
    <s v="yes"/>
    <s v="no"/>
    <s v="no"/>
    <s v="yes"/>
    <s v="yes"/>
    <s v="yes"/>
    <s v="yes"/>
    <n v="3"/>
    <n v="3"/>
    <n v="1"/>
    <n v="1"/>
    <n v="2"/>
    <n v="4"/>
    <n v="18"/>
    <n v="10"/>
    <n v="12"/>
    <x v="2"/>
    <s v="Pass"/>
    <n v="0"/>
    <n v="0"/>
    <n v="80"/>
    <n v="40"/>
    <n v="0"/>
    <n v="32"/>
    <x v="1"/>
  </r>
  <r>
    <s v="GP"/>
    <s v="F"/>
    <n v="18"/>
    <s v="U"/>
    <s v="GT3"/>
    <s v="T"/>
    <n v="2"/>
    <n v="3"/>
    <s v="at_home"/>
    <s v="other"/>
    <s v="course"/>
    <s v="mother"/>
    <n v="1"/>
    <n v="3"/>
    <n v="0"/>
    <s v="no"/>
    <s v="yes"/>
    <s v="no"/>
    <s v="no"/>
    <s v="yes"/>
    <s v="yes"/>
    <s v="yes"/>
    <s v="no"/>
    <n v="4"/>
    <n v="3"/>
    <n v="3"/>
    <n v="1"/>
    <n v="2"/>
    <n v="3"/>
    <n v="0"/>
    <n v="11"/>
    <n v="12"/>
    <x v="2"/>
    <s v="Pass"/>
    <n v="0"/>
    <n v="0"/>
    <n v="0"/>
    <n v="0"/>
    <n v="0"/>
    <n v="0"/>
    <x v="0"/>
  </r>
  <r>
    <s v="GP"/>
    <s v="F"/>
    <n v="18"/>
    <s v="U"/>
    <s v="GT3"/>
    <s v="T"/>
    <n v="3"/>
    <n v="2"/>
    <s v="other"/>
    <s v="services"/>
    <s v="other"/>
    <s v="mother"/>
    <n v="1"/>
    <n v="3"/>
    <n v="0"/>
    <s v="no"/>
    <s v="no"/>
    <s v="no"/>
    <s v="no"/>
    <s v="yes"/>
    <s v="yes"/>
    <s v="yes"/>
    <s v="yes"/>
    <n v="5"/>
    <n v="4"/>
    <n v="3"/>
    <n v="2"/>
    <n v="3"/>
    <n v="1"/>
    <n v="4"/>
    <n v="14"/>
    <n v="16"/>
    <x v="4"/>
    <s v="Pass"/>
    <n v="0"/>
    <n v="0"/>
    <n v="0"/>
    <n v="0"/>
    <n v="0"/>
    <n v="0"/>
    <x v="0"/>
  </r>
  <r>
    <s v="GP"/>
    <s v="M"/>
    <n v="18"/>
    <s v="R"/>
    <s v="GT3"/>
    <s v="T"/>
    <n v="4"/>
    <n v="3"/>
    <s v="teacher"/>
    <s v="services"/>
    <s v="course"/>
    <s v="mother"/>
    <n v="1"/>
    <n v="3"/>
    <n v="0"/>
    <s v="no"/>
    <s v="no"/>
    <s v="no"/>
    <s v="no"/>
    <s v="yes"/>
    <s v="yes"/>
    <s v="yes"/>
    <s v="yes"/>
    <n v="5"/>
    <n v="3"/>
    <n v="2"/>
    <n v="1"/>
    <n v="2"/>
    <n v="4"/>
    <n v="4"/>
    <n v="15"/>
    <n v="14"/>
    <x v="4"/>
    <s v="Pass"/>
    <n v="0"/>
    <n v="0"/>
    <n v="0"/>
    <n v="0"/>
    <n v="0"/>
    <n v="0"/>
    <x v="0"/>
  </r>
  <r>
    <s v="GP"/>
    <s v="M"/>
    <n v="18"/>
    <s v="U"/>
    <s v="GT3"/>
    <s v="T"/>
    <n v="4"/>
    <n v="3"/>
    <s v="teacher"/>
    <s v="other"/>
    <s v="course"/>
    <s v="mother"/>
    <n v="1"/>
    <n v="3"/>
    <n v="0"/>
    <s v="no"/>
    <s v="yes"/>
    <s v="no"/>
    <s v="no"/>
    <s v="yes"/>
    <s v="yes"/>
    <s v="yes"/>
    <s v="yes"/>
    <n v="5"/>
    <n v="4"/>
    <n v="5"/>
    <n v="2"/>
    <n v="3"/>
    <n v="5"/>
    <n v="0"/>
    <n v="14"/>
    <n v="13"/>
    <x v="2"/>
    <s v="Pass"/>
    <n v="0"/>
    <n v="0"/>
    <n v="0"/>
    <n v="0"/>
    <n v="0"/>
    <n v="0"/>
    <x v="0"/>
  </r>
  <r>
    <s v="GP"/>
    <s v="F"/>
    <n v="17"/>
    <s v="U"/>
    <s v="GT3"/>
    <s v="T"/>
    <n v="4"/>
    <n v="3"/>
    <s v="health"/>
    <s v="other"/>
    <s v="reputation"/>
    <s v="mother"/>
    <n v="1"/>
    <n v="3"/>
    <n v="0"/>
    <s v="no"/>
    <s v="yes"/>
    <s v="no"/>
    <s v="yes"/>
    <s v="yes"/>
    <s v="yes"/>
    <s v="yes"/>
    <s v="yes"/>
    <n v="4"/>
    <n v="4"/>
    <n v="3"/>
    <n v="1"/>
    <n v="3"/>
    <n v="4"/>
    <n v="0"/>
    <n v="11"/>
    <n v="12"/>
    <x v="3"/>
    <s v="Pass"/>
    <n v="0"/>
    <n v="0"/>
    <n v="0"/>
    <n v="0"/>
    <n v="0"/>
    <n v="0"/>
    <x v="0"/>
  </r>
  <r>
    <s v="GP"/>
    <s v="F"/>
    <n v="17"/>
    <s v="U"/>
    <s v="GT3"/>
    <s v="T"/>
    <n v="2"/>
    <n v="1"/>
    <s v="services"/>
    <s v="other"/>
    <s v="course"/>
    <s v="mother"/>
    <n v="2"/>
    <n v="2"/>
    <n v="0"/>
    <s v="no"/>
    <s v="yes"/>
    <s v="no"/>
    <s v="yes"/>
    <s v="yes"/>
    <s v="yes"/>
    <s v="yes"/>
    <s v="yes"/>
    <n v="4"/>
    <n v="3"/>
    <n v="4"/>
    <n v="2"/>
    <n v="2"/>
    <n v="1"/>
    <n v="10"/>
    <n v="12"/>
    <n v="15"/>
    <x v="5"/>
    <s v="Pass"/>
    <n v="0"/>
    <n v="0"/>
    <n v="0"/>
    <n v="40"/>
    <n v="0"/>
    <n v="8"/>
    <x v="0"/>
  </r>
  <r>
    <s v="GP"/>
    <s v="F"/>
    <n v="17"/>
    <s v="U"/>
    <s v="GT3"/>
    <s v="T"/>
    <n v="2"/>
    <n v="1"/>
    <s v="services"/>
    <s v="other"/>
    <s v="reputation"/>
    <s v="mother"/>
    <n v="1"/>
    <n v="2"/>
    <n v="0"/>
    <s v="no"/>
    <s v="yes"/>
    <s v="no"/>
    <s v="yes"/>
    <s v="yes"/>
    <s v="yes"/>
    <s v="yes"/>
    <s v="no"/>
    <n v="4"/>
    <n v="3"/>
    <n v="5"/>
    <n v="2"/>
    <n v="4"/>
    <n v="4"/>
    <n v="4"/>
    <n v="12"/>
    <n v="16"/>
    <x v="8"/>
    <s v="Pass"/>
    <n v="0"/>
    <n v="0"/>
    <n v="0"/>
    <n v="40"/>
    <n v="0"/>
    <n v="8"/>
    <x v="0"/>
  </r>
  <r>
    <s v="GP"/>
    <s v="F"/>
    <n v="19"/>
    <s v="U"/>
    <s v="LE3"/>
    <s v="A"/>
    <n v="2"/>
    <n v="3"/>
    <s v="at_home"/>
    <s v="other"/>
    <s v="home"/>
    <s v="other"/>
    <n v="2"/>
    <n v="1"/>
    <n v="1"/>
    <s v="no"/>
    <s v="no"/>
    <s v="no"/>
    <s v="no"/>
    <s v="yes"/>
    <s v="no"/>
    <s v="yes"/>
    <s v="no"/>
    <n v="2"/>
    <n v="2"/>
    <n v="3"/>
    <n v="3"/>
    <n v="4"/>
    <n v="5"/>
    <n v="16"/>
    <n v="10"/>
    <n v="11"/>
    <x v="0"/>
    <s v="Pass"/>
    <n v="0"/>
    <n v="60"/>
    <n v="80"/>
    <n v="70"/>
    <n v="0"/>
    <n v="62"/>
    <x v="2"/>
  </r>
  <r>
    <s v="GP"/>
    <s v="F"/>
    <n v="17"/>
    <s v="U"/>
    <s v="GT3"/>
    <s v="T"/>
    <n v="3"/>
    <n v="1"/>
    <s v="other"/>
    <s v="at_home"/>
    <s v="home"/>
    <s v="mother"/>
    <n v="1"/>
    <n v="1"/>
    <n v="1"/>
    <s v="no"/>
    <s v="yes"/>
    <s v="yes"/>
    <s v="no"/>
    <s v="yes"/>
    <s v="yes"/>
    <s v="yes"/>
    <s v="yes"/>
    <n v="4"/>
    <n v="1"/>
    <n v="2"/>
    <n v="1"/>
    <n v="1"/>
    <n v="3"/>
    <n v="6"/>
    <n v="10"/>
    <n v="13"/>
    <x v="3"/>
    <s v="Pass"/>
    <n v="0"/>
    <n v="60"/>
    <n v="0"/>
    <n v="70"/>
    <n v="0"/>
    <n v="38"/>
    <x v="1"/>
  </r>
  <r>
    <s v="GP"/>
    <s v="F"/>
    <n v="21"/>
    <s v="U"/>
    <s v="LE3"/>
    <s v="T"/>
    <n v="4"/>
    <n v="4"/>
    <s v="other"/>
    <s v="other"/>
    <s v="reputation"/>
    <s v="other"/>
    <n v="1"/>
    <n v="3"/>
    <n v="2"/>
    <s v="no"/>
    <s v="no"/>
    <s v="yes"/>
    <s v="yes"/>
    <s v="yes"/>
    <s v="yes"/>
    <s v="yes"/>
    <s v="no"/>
    <n v="3"/>
    <n v="3"/>
    <n v="2"/>
    <n v="1"/>
    <n v="1"/>
    <n v="5"/>
    <n v="0"/>
    <n v="9"/>
    <n v="12"/>
    <x v="1"/>
    <s v="Pass"/>
    <n v="0"/>
    <n v="100"/>
    <n v="0"/>
    <n v="0"/>
    <n v="0"/>
    <n v="40"/>
    <x v="1"/>
  </r>
  <r>
    <s v="GP"/>
    <s v="M"/>
    <n v="18"/>
    <s v="U"/>
    <s v="LE3"/>
    <s v="T"/>
    <n v="2"/>
    <n v="2"/>
    <s v="services"/>
    <s v="services"/>
    <s v="reputation"/>
    <s v="mother"/>
    <n v="1"/>
    <n v="2"/>
    <n v="0"/>
    <s v="no"/>
    <s v="yes"/>
    <s v="no"/>
    <s v="yes"/>
    <s v="no"/>
    <s v="no"/>
    <s v="yes"/>
    <s v="no"/>
    <n v="4"/>
    <n v="4"/>
    <n v="4"/>
    <n v="1"/>
    <n v="3"/>
    <n v="3"/>
    <n v="11"/>
    <n v="9"/>
    <n v="11"/>
    <x v="1"/>
    <s v="Pass"/>
    <n v="0"/>
    <n v="0"/>
    <n v="50"/>
    <n v="40"/>
    <n v="0"/>
    <n v="23"/>
    <x v="0"/>
  </r>
  <r>
    <s v="GP"/>
    <s v="M"/>
    <n v="18"/>
    <s v="U"/>
    <s v="LE3"/>
    <s v="A"/>
    <n v="3"/>
    <n v="4"/>
    <s v="other"/>
    <s v="other"/>
    <s v="reputation"/>
    <s v="other"/>
    <n v="1"/>
    <n v="2"/>
    <n v="0"/>
    <s v="no"/>
    <s v="no"/>
    <s v="no"/>
    <s v="yes"/>
    <s v="yes"/>
    <s v="yes"/>
    <s v="yes"/>
    <s v="yes"/>
    <n v="4"/>
    <n v="3"/>
    <n v="5"/>
    <n v="1"/>
    <n v="4"/>
    <n v="2"/>
    <n v="9"/>
    <n v="13"/>
    <n v="14"/>
    <x v="5"/>
    <s v="Pass"/>
    <n v="0"/>
    <n v="0"/>
    <n v="0"/>
    <n v="40"/>
    <n v="0"/>
    <n v="8"/>
    <x v="0"/>
  </r>
  <r>
    <s v="GP"/>
    <s v="F"/>
    <n v="17"/>
    <s v="U"/>
    <s v="GT3"/>
    <s v="T"/>
    <n v="2"/>
    <n v="2"/>
    <s v="services"/>
    <s v="services"/>
    <s v="reputation"/>
    <s v="mother"/>
    <n v="1"/>
    <n v="2"/>
    <n v="0"/>
    <s v="no"/>
    <s v="yes"/>
    <s v="no"/>
    <s v="yes"/>
    <s v="yes"/>
    <s v="yes"/>
    <s v="yes"/>
    <s v="no"/>
    <n v="4"/>
    <n v="3"/>
    <n v="4"/>
    <n v="1"/>
    <n v="3"/>
    <n v="4"/>
    <n v="0"/>
    <n v="13"/>
    <n v="17"/>
    <x v="4"/>
    <s v="Pass"/>
    <n v="0"/>
    <n v="0"/>
    <n v="0"/>
    <n v="40"/>
    <n v="0"/>
    <n v="8"/>
    <x v="0"/>
  </r>
  <r>
    <s v="GP"/>
    <s v="M"/>
    <n v="17"/>
    <s v="U"/>
    <s v="LE3"/>
    <s v="A"/>
    <n v="4"/>
    <n v="4"/>
    <s v="health"/>
    <s v="other"/>
    <s v="reputation"/>
    <s v="mother"/>
    <n v="1"/>
    <n v="3"/>
    <n v="0"/>
    <s v="no"/>
    <s v="yes"/>
    <s v="no"/>
    <s v="no"/>
    <s v="yes"/>
    <s v="yes"/>
    <s v="yes"/>
    <s v="no"/>
    <n v="4"/>
    <n v="4"/>
    <n v="2"/>
    <n v="1"/>
    <n v="2"/>
    <n v="4"/>
    <n v="2"/>
    <n v="12"/>
    <n v="15"/>
    <x v="5"/>
    <s v="Pass"/>
    <n v="0"/>
    <n v="0"/>
    <n v="0"/>
    <n v="0"/>
    <n v="0"/>
    <n v="0"/>
    <x v="0"/>
  </r>
  <r>
    <s v="GP"/>
    <s v="F"/>
    <n v="18"/>
    <s v="U"/>
    <s v="LE3"/>
    <s v="T"/>
    <n v="4"/>
    <n v="2"/>
    <s v="teacher"/>
    <s v="other"/>
    <s v="course"/>
    <s v="mother"/>
    <n v="1"/>
    <n v="2"/>
    <n v="0"/>
    <s v="no"/>
    <s v="yes"/>
    <s v="no"/>
    <s v="yes"/>
    <s v="yes"/>
    <s v="yes"/>
    <s v="yes"/>
    <s v="no"/>
    <n v="4"/>
    <n v="2"/>
    <n v="2"/>
    <n v="1"/>
    <n v="1"/>
    <n v="3"/>
    <n v="0"/>
    <n v="14"/>
    <n v="17"/>
    <x v="4"/>
    <s v="Pass"/>
    <n v="0"/>
    <n v="0"/>
    <n v="0"/>
    <n v="40"/>
    <n v="0"/>
    <n v="8"/>
    <x v="0"/>
  </r>
  <r>
    <s v="GP"/>
    <s v="M"/>
    <n v="21"/>
    <s v="R"/>
    <s v="LE3"/>
    <s v="T"/>
    <n v="1"/>
    <n v="1"/>
    <s v="at_home"/>
    <s v="other"/>
    <s v="course"/>
    <s v="other"/>
    <n v="2"/>
    <n v="2"/>
    <n v="2"/>
    <s v="no"/>
    <s v="yes"/>
    <s v="no"/>
    <s v="yes"/>
    <s v="yes"/>
    <s v="no"/>
    <s v="yes"/>
    <s v="yes"/>
    <n v="5"/>
    <n v="3"/>
    <n v="3"/>
    <n v="5"/>
    <n v="2"/>
    <n v="4"/>
    <n v="21"/>
    <n v="9"/>
    <n v="10"/>
    <x v="7"/>
    <s v="Pass"/>
    <n v="0"/>
    <n v="100"/>
    <n v="80"/>
    <n v="40"/>
    <n v="0"/>
    <n v="72"/>
    <x v="2"/>
  </r>
  <r>
    <s v="GP"/>
    <s v="F"/>
    <n v="20"/>
    <s v="R"/>
    <s v="GT3"/>
    <s v="T"/>
    <n v="1"/>
    <n v="1"/>
    <s v="other"/>
    <s v="other"/>
    <s v="reputation"/>
    <s v="other"/>
    <n v="2"/>
    <n v="3"/>
    <n v="0"/>
    <s v="no"/>
    <s v="no"/>
    <s v="no"/>
    <s v="no"/>
    <s v="yes"/>
    <s v="yes"/>
    <s v="yes"/>
    <s v="yes"/>
    <n v="3"/>
    <n v="2"/>
    <n v="2"/>
    <n v="1"/>
    <n v="3"/>
    <n v="3"/>
    <n v="8"/>
    <n v="11"/>
    <n v="15"/>
    <x v="5"/>
    <s v="Pass"/>
    <n v="0"/>
    <n v="0"/>
    <n v="0"/>
    <n v="0"/>
    <n v="0"/>
    <n v="0"/>
    <x v="0"/>
  </r>
  <r>
    <s v="GP"/>
    <s v="F"/>
    <n v="19"/>
    <s v="U"/>
    <s v="GT3"/>
    <s v="T"/>
    <n v="4"/>
    <n v="4"/>
    <s v="teacher"/>
    <s v="other"/>
    <s v="home"/>
    <s v="other"/>
    <n v="1"/>
    <n v="1"/>
    <n v="1"/>
    <s v="no"/>
    <s v="yes"/>
    <s v="no"/>
    <s v="no"/>
    <s v="yes"/>
    <s v="yes"/>
    <s v="yes"/>
    <s v="yes"/>
    <n v="3"/>
    <n v="2"/>
    <n v="5"/>
    <n v="4"/>
    <n v="4"/>
    <n v="5"/>
    <n v="5"/>
    <n v="9"/>
    <n v="10"/>
    <x v="0"/>
    <s v="Pass"/>
    <n v="0"/>
    <n v="60"/>
    <n v="0"/>
    <n v="70"/>
    <n v="0"/>
    <n v="38"/>
    <x v="1"/>
  </r>
  <r>
    <s v="GP"/>
    <s v="M"/>
    <n v="17"/>
    <s v="U"/>
    <s v="LE3"/>
    <s v="A"/>
    <n v="3"/>
    <n v="2"/>
    <s v="other"/>
    <s v="other"/>
    <s v="reputation"/>
    <s v="mother"/>
    <n v="1"/>
    <n v="2"/>
    <n v="0"/>
    <s v="no"/>
    <s v="yes"/>
    <s v="no"/>
    <s v="no"/>
    <s v="yes"/>
    <s v="yes"/>
    <s v="yes"/>
    <s v="no"/>
    <n v="4"/>
    <n v="4"/>
    <n v="4"/>
    <n v="1"/>
    <n v="2"/>
    <n v="5"/>
    <n v="10"/>
    <n v="16"/>
    <n v="18"/>
    <x v="11"/>
    <s v="Pass"/>
    <n v="0"/>
    <n v="0"/>
    <n v="0"/>
    <n v="40"/>
    <n v="0"/>
    <n v="8"/>
    <x v="0"/>
  </r>
  <r>
    <s v="GP"/>
    <s v="F"/>
    <n v="18"/>
    <s v="U"/>
    <s v="GT3"/>
    <s v="T"/>
    <n v="3"/>
    <n v="2"/>
    <s v="at_home"/>
    <s v="other"/>
    <s v="reputation"/>
    <s v="father"/>
    <n v="1"/>
    <n v="3"/>
    <n v="0"/>
    <s v="no"/>
    <s v="yes"/>
    <s v="no"/>
    <s v="no"/>
    <s v="yes"/>
    <s v="yes"/>
    <s v="yes"/>
    <s v="yes"/>
    <n v="4"/>
    <n v="3"/>
    <n v="4"/>
    <n v="1"/>
    <n v="2"/>
    <n v="2"/>
    <n v="5"/>
    <n v="14"/>
    <n v="17"/>
    <x v="4"/>
    <s v="Pass"/>
    <n v="0"/>
    <n v="0"/>
    <n v="0"/>
    <n v="0"/>
    <n v="0"/>
    <n v="0"/>
    <x v="0"/>
  </r>
  <r>
    <s v="GP"/>
    <s v="M"/>
    <n v="18"/>
    <s v="R"/>
    <s v="GT3"/>
    <s v="T"/>
    <n v="2"/>
    <n v="3"/>
    <s v="other"/>
    <s v="services"/>
    <s v="reputation"/>
    <s v="father"/>
    <n v="1"/>
    <n v="1"/>
    <n v="0"/>
    <s v="no"/>
    <s v="no"/>
    <s v="no"/>
    <s v="no"/>
    <s v="yes"/>
    <s v="yes"/>
    <s v="yes"/>
    <s v="no"/>
    <n v="3"/>
    <n v="1"/>
    <n v="3"/>
    <n v="4"/>
    <n v="5"/>
    <n v="4"/>
    <n v="13"/>
    <n v="13"/>
    <n v="14"/>
    <x v="2"/>
    <s v="Pass"/>
    <n v="0"/>
    <n v="0"/>
    <n v="50"/>
    <n v="70"/>
    <n v="0"/>
    <n v="29"/>
    <x v="0"/>
  </r>
  <r>
    <s v="GP"/>
    <s v="M"/>
    <n v="19"/>
    <s v="U"/>
    <s v="GT3"/>
    <s v="T"/>
    <n v="2"/>
    <n v="1"/>
    <s v="other"/>
    <s v="other"/>
    <s v="reputation"/>
    <s v="mother"/>
    <n v="1"/>
    <n v="1"/>
    <n v="0"/>
    <s v="no"/>
    <s v="no"/>
    <s v="no"/>
    <s v="no"/>
    <s v="yes"/>
    <s v="yes"/>
    <s v="yes"/>
    <s v="no"/>
    <n v="5"/>
    <n v="3"/>
    <n v="4"/>
    <n v="1"/>
    <n v="4"/>
    <n v="4"/>
    <n v="10"/>
    <n v="7"/>
    <n v="11"/>
    <x v="0"/>
    <s v="Pass"/>
    <n v="0"/>
    <n v="0"/>
    <n v="0"/>
    <n v="70"/>
    <n v="0"/>
    <n v="14"/>
    <x v="0"/>
  </r>
  <r>
    <s v="GP"/>
    <s v="F"/>
    <n v="18"/>
    <s v="U"/>
    <s v="LE3"/>
    <s v="A"/>
    <n v="2"/>
    <n v="2"/>
    <s v="services"/>
    <s v="other"/>
    <s v="reputation"/>
    <s v="mother"/>
    <n v="2"/>
    <n v="2"/>
    <n v="0"/>
    <s v="no"/>
    <s v="yes"/>
    <s v="no"/>
    <s v="no"/>
    <s v="yes"/>
    <s v="yes"/>
    <s v="yes"/>
    <s v="no"/>
    <n v="4"/>
    <n v="1"/>
    <n v="4"/>
    <n v="1"/>
    <n v="3"/>
    <n v="4"/>
    <n v="10"/>
    <n v="14"/>
    <n v="17"/>
    <x v="4"/>
    <s v="Pass"/>
    <n v="0"/>
    <n v="0"/>
    <n v="0"/>
    <n v="40"/>
    <n v="0"/>
    <n v="8"/>
    <x v="0"/>
  </r>
  <r>
    <s v="GP"/>
    <s v="F"/>
    <n v="20"/>
    <s v="U"/>
    <s v="GT3"/>
    <s v="T"/>
    <n v="1"/>
    <n v="0"/>
    <s v="other"/>
    <s v="other"/>
    <s v="reputation"/>
    <s v="mother"/>
    <n v="2"/>
    <n v="1"/>
    <n v="1"/>
    <s v="yes"/>
    <s v="no"/>
    <s v="no"/>
    <s v="no"/>
    <s v="yes"/>
    <s v="yes"/>
    <s v="yes"/>
    <s v="yes"/>
    <n v="5"/>
    <n v="3"/>
    <n v="1"/>
    <n v="1"/>
    <n v="1"/>
    <n v="5"/>
    <n v="5"/>
    <n v="8"/>
    <n v="10"/>
    <x v="7"/>
    <s v="Pass"/>
    <n v="0"/>
    <n v="60"/>
    <n v="0"/>
    <n v="70"/>
    <n v="0"/>
    <n v="38"/>
    <x v="1"/>
  </r>
  <r>
    <s v="GP"/>
    <s v="F"/>
    <n v="18"/>
    <s v="U"/>
    <s v="GT3"/>
    <s v="T"/>
    <n v="3"/>
    <n v="2"/>
    <s v="services"/>
    <s v="other"/>
    <s v="home"/>
    <s v="mother"/>
    <n v="1"/>
    <n v="2"/>
    <n v="0"/>
    <s v="no"/>
    <s v="yes"/>
    <s v="no"/>
    <s v="yes"/>
    <s v="no"/>
    <s v="yes"/>
    <s v="yes"/>
    <s v="yes"/>
    <n v="3"/>
    <n v="1"/>
    <n v="2"/>
    <n v="1"/>
    <n v="2"/>
    <n v="1"/>
    <n v="4"/>
    <n v="10"/>
    <n v="13"/>
    <x v="3"/>
    <s v="Pass"/>
    <n v="0"/>
    <n v="0"/>
    <n v="0"/>
    <n v="40"/>
    <n v="0"/>
    <n v="8"/>
    <x v="0"/>
  </r>
  <r>
    <s v="MS"/>
    <s v="F"/>
    <n v="16"/>
    <s v="U"/>
    <s v="GT3"/>
    <s v="T"/>
    <n v="1"/>
    <n v="3"/>
    <s v="at_home"/>
    <s v="other"/>
    <s v="other"/>
    <s v="father"/>
    <n v="2"/>
    <n v="1"/>
    <n v="0"/>
    <s v="no"/>
    <s v="yes"/>
    <s v="no"/>
    <s v="no"/>
    <s v="yes"/>
    <s v="no"/>
    <s v="yes"/>
    <s v="yes"/>
    <n v="4"/>
    <n v="3"/>
    <n v="3"/>
    <n v="1"/>
    <n v="3"/>
    <n v="5"/>
    <n v="11"/>
    <n v="10"/>
    <n v="11"/>
    <x v="0"/>
    <s v="Pass"/>
    <n v="0"/>
    <n v="0"/>
    <n v="50"/>
    <n v="70"/>
    <n v="0"/>
    <n v="29"/>
    <x v="0"/>
  </r>
  <r>
    <s v="MS"/>
    <s v="F"/>
    <n v="16"/>
    <s v="R"/>
    <s v="GT3"/>
    <s v="T"/>
    <n v="2"/>
    <n v="2"/>
    <s v="other"/>
    <s v="other"/>
    <s v="course"/>
    <s v="mother"/>
    <n v="2"/>
    <n v="2"/>
    <n v="0"/>
    <s v="no"/>
    <s v="yes"/>
    <s v="no"/>
    <s v="yes"/>
    <s v="yes"/>
    <s v="yes"/>
    <s v="yes"/>
    <s v="no"/>
    <n v="4"/>
    <n v="4"/>
    <n v="4"/>
    <n v="1"/>
    <n v="1"/>
    <n v="5"/>
    <n v="0"/>
    <n v="12"/>
    <n v="12"/>
    <x v="1"/>
    <s v="Pass"/>
    <n v="0"/>
    <n v="0"/>
    <n v="0"/>
    <n v="40"/>
    <n v="0"/>
    <n v="8"/>
    <x v="0"/>
  </r>
  <r>
    <s v="MS"/>
    <s v="F"/>
    <n v="15"/>
    <s v="R"/>
    <s v="GT3"/>
    <s v="T"/>
    <n v="1"/>
    <n v="1"/>
    <s v="at_home"/>
    <s v="services"/>
    <s v="other"/>
    <s v="mother"/>
    <n v="1"/>
    <n v="1"/>
    <n v="1"/>
    <s v="no"/>
    <s v="yes"/>
    <s v="no"/>
    <s v="no"/>
    <s v="yes"/>
    <s v="yes"/>
    <s v="no"/>
    <s v="yes"/>
    <n v="4"/>
    <n v="1"/>
    <n v="3"/>
    <n v="1"/>
    <n v="1"/>
    <n v="2"/>
    <n v="6"/>
    <n v="10"/>
    <n v="10"/>
    <x v="7"/>
    <s v="Pass"/>
    <n v="0"/>
    <n v="60"/>
    <n v="0"/>
    <n v="70"/>
    <n v="0"/>
    <n v="38"/>
    <x v="1"/>
  </r>
  <r>
    <s v="MS"/>
    <s v="F"/>
    <n v="15"/>
    <s v="R"/>
    <s v="GT3"/>
    <s v="T"/>
    <n v="3"/>
    <n v="3"/>
    <s v="at_home"/>
    <s v="other"/>
    <s v="course"/>
    <s v="mother"/>
    <n v="2"/>
    <n v="1"/>
    <n v="0"/>
    <s v="no"/>
    <s v="yes"/>
    <s v="no"/>
    <s v="no"/>
    <s v="yes"/>
    <s v="yes"/>
    <s v="yes"/>
    <s v="no"/>
    <n v="5"/>
    <n v="4"/>
    <n v="4"/>
    <n v="2"/>
    <n v="3"/>
    <n v="5"/>
    <n v="4"/>
    <n v="10"/>
    <n v="10"/>
    <x v="0"/>
    <s v="Pass"/>
    <n v="0"/>
    <n v="0"/>
    <n v="0"/>
    <n v="70"/>
    <n v="0"/>
    <n v="14"/>
    <x v="0"/>
  </r>
  <r>
    <s v="MS"/>
    <s v="F"/>
    <n v="16"/>
    <s v="R"/>
    <s v="GT3"/>
    <s v="T"/>
    <n v="2"/>
    <n v="3"/>
    <s v="at_home"/>
    <s v="services"/>
    <s v="course"/>
    <s v="mother"/>
    <n v="2"/>
    <n v="2"/>
    <n v="0"/>
    <s v="no"/>
    <s v="no"/>
    <s v="no"/>
    <s v="no"/>
    <s v="yes"/>
    <s v="yes"/>
    <s v="no"/>
    <s v="no"/>
    <n v="4"/>
    <n v="5"/>
    <n v="2"/>
    <n v="1"/>
    <n v="2"/>
    <n v="5"/>
    <n v="0"/>
    <n v="16"/>
    <n v="17"/>
    <x v="4"/>
    <s v="Pass"/>
    <n v="0"/>
    <n v="0"/>
    <n v="0"/>
    <n v="40"/>
    <n v="0"/>
    <n v="8"/>
    <x v="0"/>
  </r>
  <r>
    <s v="MS"/>
    <s v="F"/>
    <n v="15"/>
    <s v="R"/>
    <s v="LE3"/>
    <s v="T"/>
    <n v="2"/>
    <n v="1"/>
    <s v="at_home"/>
    <s v="other"/>
    <s v="home"/>
    <s v="mother"/>
    <n v="2"/>
    <n v="1"/>
    <n v="0"/>
    <s v="no"/>
    <s v="no"/>
    <s v="no"/>
    <s v="no"/>
    <s v="yes"/>
    <s v="no"/>
    <s v="no"/>
    <s v="no"/>
    <n v="1"/>
    <n v="3"/>
    <n v="4"/>
    <n v="1"/>
    <n v="1"/>
    <n v="1"/>
    <n v="0"/>
    <n v="6"/>
    <n v="8"/>
    <x v="9"/>
    <s v="Fail"/>
    <n v="0"/>
    <n v="0"/>
    <n v="0"/>
    <n v="70"/>
    <n v="0"/>
    <n v="14"/>
    <x v="0"/>
  </r>
  <r>
    <s v="MS"/>
    <s v="M"/>
    <n v="16"/>
    <s v="R"/>
    <s v="LE3"/>
    <s v="A"/>
    <n v="4"/>
    <n v="4"/>
    <s v="at_home"/>
    <s v="other"/>
    <s v="home"/>
    <s v="mother"/>
    <n v="1"/>
    <n v="2"/>
    <n v="0"/>
    <s v="no"/>
    <s v="yes"/>
    <s v="no"/>
    <s v="no"/>
    <s v="yes"/>
    <s v="yes"/>
    <s v="no"/>
    <s v="no"/>
    <n v="5"/>
    <n v="3"/>
    <n v="2"/>
    <n v="1"/>
    <n v="3"/>
    <n v="2"/>
    <n v="5"/>
    <n v="10"/>
    <n v="11"/>
    <x v="0"/>
    <s v="Pass"/>
    <n v="0"/>
    <n v="0"/>
    <n v="0"/>
    <n v="40"/>
    <n v="0"/>
    <n v="8"/>
    <x v="0"/>
  </r>
  <r>
    <s v="MS"/>
    <s v="M"/>
    <n v="16"/>
    <s v="U"/>
    <s v="GT3"/>
    <s v="A"/>
    <n v="1"/>
    <n v="2"/>
    <s v="other"/>
    <s v="other"/>
    <s v="other"/>
    <s v="mother"/>
    <n v="1"/>
    <n v="3"/>
    <n v="0"/>
    <s v="yes"/>
    <s v="no"/>
    <s v="no"/>
    <s v="no"/>
    <s v="yes"/>
    <s v="yes"/>
    <s v="yes"/>
    <s v="no"/>
    <n v="4"/>
    <n v="4"/>
    <n v="3"/>
    <n v="1"/>
    <n v="1"/>
    <n v="5"/>
    <n v="0"/>
    <n v="10"/>
    <n v="11"/>
    <x v="0"/>
    <s v="Pass"/>
    <n v="0"/>
    <n v="0"/>
    <n v="0"/>
    <n v="0"/>
    <n v="0"/>
    <n v="0"/>
    <x v="0"/>
  </r>
  <r>
    <s v="MS"/>
    <s v="F"/>
    <n v="17"/>
    <s v="R"/>
    <s v="GT3"/>
    <s v="T"/>
    <n v="3"/>
    <n v="2"/>
    <s v="at_home"/>
    <s v="other"/>
    <s v="course"/>
    <s v="father"/>
    <n v="1"/>
    <n v="2"/>
    <n v="1"/>
    <s v="no"/>
    <s v="no"/>
    <s v="no"/>
    <s v="no"/>
    <s v="yes"/>
    <s v="yes"/>
    <s v="no"/>
    <s v="yes"/>
    <n v="4"/>
    <n v="5"/>
    <n v="4"/>
    <n v="1"/>
    <n v="2"/>
    <n v="5"/>
    <n v="0"/>
    <n v="10"/>
    <n v="10"/>
    <x v="7"/>
    <s v="Pass"/>
    <n v="0"/>
    <n v="60"/>
    <n v="0"/>
    <n v="40"/>
    <n v="0"/>
    <n v="32"/>
    <x v="1"/>
  </r>
  <r>
    <s v="MS"/>
    <s v="F"/>
    <n v="17"/>
    <s v="R"/>
    <s v="GT3"/>
    <s v="T"/>
    <n v="1"/>
    <n v="1"/>
    <s v="other"/>
    <s v="other"/>
    <s v="other"/>
    <s v="father"/>
    <n v="1"/>
    <n v="1"/>
    <n v="1"/>
    <s v="no"/>
    <s v="yes"/>
    <s v="no"/>
    <s v="no"/>
    <s v="no"/>
    <s v="no"/>
    <s v="yes"/>
    <s v="no"/>
    <n v="5"/>
    <n v="4"/>
    <n v="4"/>
    <n v="2"/>
    <n v="2"/>
    <n v="5"/>
    <n v="0"/>
    <n v="6"/>
    <n v="6"/>
    <x v="6"/>
    <s v="Fail"/>
    <n v="0"/>
    <n v="60"/>
    <n v="0"/>
    <n v="70"/>
    <n v="0"/>
    <n v="38"/>
    <x v="1"/>
  </r>
  <r>
    <s v="MS"/>
    <s v="F"/>
    <n v="15"/>
    <s v="R"/>
    <s v="GT3"/>
    <s v="T"/>
    <n v="4"/>
    <n v="4"/>
    <s v="teacher"/>
    <s v="other"/>
    <s v="course"/>
    <s v="mother"/>
    <n v="2"/>
    <n v="1"/>
    <n v="0"/>
    <s v="no"/>
    <s v="no"/>
    <s v="no"/>
    <s v="no"/>
    <s v="yes"/>
    <s v="yes"/>
    <s v="yes"/>
    <s v="yes"/>
    <n v="1"/>
    <n v="5"/>
    <n v="1"/>
    <n v="3"/>
    <n v="5"/>
    <n v="5"/>
    <n v="0"/>
    <n v="13"/>
    <n v="14"/>
    <x v="2"/>
    <s v="Pass"/>
    <n v="0"/>
    <n v="0"/>
    <n v="0"/>
    <n v="70"/>
    <n v="0"/>
    <n v="14"/>
    <x v="0"/>
  </r>
  <r>
    <s v="MS"/>
    <s v="F"/>
    <n v="16"/>
    <s v="U"/>
    <s v="LE3"/>
    <s v="A"/>
    <n v="2"/>
    <n v="2"/>
    <s v="at_home"/>
    <s v="other"/>
    <s v="reputation"/>
    <s v="mother"/>
    <n v="2"/>
    <n v="4"/>
    <n v="0"/>
    <s v="no"/>
    <s v="no"/>
    <s v="no"/>
    <s v="yes"/>
    <s v="no"/>
    <s v="no"/>
    <s v="no"/>
    <s v="yes"/>
    <n v="1"/>
    <n v="2"/>
    <n v="1"/>
    <n v="1"/>
    <n v="1"/>
    <n v="1"/>
    <n v="4"/>
    <n v="10"/>
    <n v="9"/>
    <x v="0"/>
    <s v="Pass"/>
    <n v="0"/>
    <n v="0"/>
    <n v="0"/>
    <n v="0"/>
    <n v="0"/>
    <n v="0"/>
    <x v="0"/>
  </r>
  <r>
    <s v="MS"/>
    <s v="F"/>
    <n v="15"/>
    <s v="R"/>
    <s v="LE3"/>
    <s v="T"/>
    <n v="1"/>
    <n v="1"/>
    <s v="at_home"/>
    <s v="services"/>
    <s v="reputation"/>
    <s v="father"/>
    <n v="2"/>
    <n v="2"/>
    <n v="0"/>
    <s v="no"/>
    <s v="yes"/>
    <s v="no"/>
    <s v="no"/>
    <s v="yes"/>
    <s v="yes"/>
    <s v="yes"/>
    <s v="no"/>
    <n v="5"/>
    <n v="4"/>
    <n v="3"/>
    <n v="1"/>
    <n v="2"/>
    <n v="4"/>
    <n v="0"/>
    <n v="10"/>
    <n v="10"/>
    <x v="7"/>
    <s v="Pass"/>
    <n v="0"/>
    <n v="0"/>
    <n v="0"/>
    <n v="40"/>
    <n v="0"/>
    <n v="8"/>
    <x v="0"/>
  </r>
  <r>
    <s v="MS"/>
    <s v="F"/>
    <n v="15"/>
    <s v="R"/>
    <s v="LE3"/>
    <s v="T"/>
    <n v="1"/>
    <n v="1"/>
    <s v="other"/>
    <s v="services"/>
    <s v="course"/>
    <s v="mother"/>
    <n v="2"/>
    <n v="1"/>
    <n v="1"/>
    <s v="no"/>
    <s v="yes"/>
    <s v="no"/>
    <s v="no"/>
    <s v="yes"/>
    <s v="yes"/>
    <s v="yes"/>
    <s v="yes"/>
    <n v="4"/>
    <n v="4"/>
    <n v="3"/>
    <n v="1"/>
    <n v="2"/>
    <n v="2"/>
    <n v="4"/>
    <n v="6"/>
    <n v="7"/>
    <x v="10"/>
    <s v="Fail"/>
    <n v="0"/>
    <n v="60"/>
    <n v="0"/>
    <n v="70"/>
    <n v="0"/>
    <n v="38"/>
    <x v="1"/>
  </r>
  <r>
    <s v="MS"/>
    <s v="F"/>
    <n v="16"/>
    <s v="R"/>
    <s v="GT3"/>
    <s v="T"/>
    <n v="0"/>
    <n v="2"/>
    <s v="other"/>
    <s v="other"/>
    <s v="other"/>
    <s v="mother"/>
    <n v="2"/>
    <n v="1"/>
    <n v="0"/>
    <s v="no"/>
    <s v="yes"/>
    <s v="no"/>
    <s v="yes"/>
    <s v="yes"/>
    <s v="yes"/>
    <s v="no"/>
    <s v="no"/>
    <n v="3"/>
    <n v="2"/>
    <n v="3"/>
    <n v="1"/>
    <n v="2"/>
    <n v="2"/>
    <n v="0"/>
    <n v="12"/>
    <n v="11"/>
    <x v="1"/>
    <s v="Pass"/>
    <n v="0"/>
    <n v="0"/>
    <n v="0"/>
    <n v="70"/>
    <n v="0"/>
    <n v="14"/>
    <x v="0"/>
  </r>
  <r>
    <s v="MS"/>
    <s v="F"/>
    <n v="17"/>
    <s v="R"/>
    <s v="GT3"/>
    <s v="T"/>
    <n v="2"/>
    <n v="3"/>
    <s v="other"/>
    <s v="other"/>
    <s v="course"/>
    <s v="mother"/>
    <n v="2"/>
    <n v="1"/>
    <n v="0"/>
    <s v="no"/>
    <s v="yes"/>
    <s v="no"/>
    <s v="no"/>
    <s v="yes"/>
    <s v="yes"/>
    <s v="yes"/>
    <s v="no"/>
    <n v="5"/>
    <n v="5"/>
    <n v="5"/>
    <n v="1"/>
    <n v="3"/>
    <n v="3"/>
    <n v="2"/>
    <n v="10"/>
    <n v="11"/>
    <x v="1"/>
    <s v="Pass"/>
    <n v="0"/>
    <n v="0"/>
    <n v="0"/>
    <n v="70"/>
    <n v="0"/>
    <n v="14"/>
    <x v="0"/>
  </r>
  <r>
    <s v="MS"/>
    <s v="F"/>
    <n v="15"/>
    <s v="R"/>
    <s v="GT3"/>
    <s v="T"/>
    <n v="3"/>
    <n v="3"/>
    <s v="other"/>
    <s v="services"/>
    <s v="course"/>
    <s v="father"/>
    <n v="2"/>
    <n v="1"/>
    <n v="0"/>
    <s v="no"/>
    <s v="no"/>
    <s v="no"/>
    <s v="no"/>
    <s v="no"/>
    <s v="yes"/>
    <s v="yes"/>
    <s v="no"/>
    <n v="4"/>
    <n v="1"/>
    <n v="3"/>
    <n v="1"/>
    <n v="1"/>
    <n v="4"/>
    <n v="0"/>
    <n v="14"/>
    <n v="16"/>
    <x v="8"/>
    <s v="Pass"/>
    <n v="0"/>
    <n v="0"/>
    <n v="0"/>
    <n v="70"/>
    <n v="0"/>
    <n v="14"/>
    <x v="0"/>
  </r>
  <r>
    <s v="MS"/>
    <s v="M"/>
    <n v="16"/>
    <s v="U"/>
    <s v="GT3"/>
    <s v="T"/>
    <n v="1"/>
    <n v="1"/>
    <s v="at_home"/>
    <s v="services"/>
    <s v="home"/>
    <s v="mother"/>
    <n v="2"/>
    <n v="2"/>
    <n v="0"/>
    <s v="no"/>
    <s v="yes"/>
    <s v="no"/>
    <s v="yes"/>
    <s v="yes"/>
    <s v="yes"/>
    <s v="no"/>
    <s v="yes"/>
    <n v="5"/>
    <n v="4"/>
    <n v="5"/>
    <n v="4"/>
    <n v="5"/>
    <n v="3"/>
    <n v="0"/>
    <n v="7"/>
    <n v="0"/>
    <x v="13"/>
    <s v="Fail"/>
    <n v="0"/>
    <n v="0"/>
    <n v="0"/>
    <n v="40"/>
    <n v="0"/>
    <n v="8"/>
    <x v="0"/>
  </r>
  <r>
    <s v="MS"/>
    <s v="M"/>
    <n v="17"/>
    <s v="U"/>
    <s v="GT3"/>
    <s v="T"/>
    <n v="1"/>
    <n v="1"/>
    <s v="other"/>
    <s v="other"/>
    <s v="home"/>
    <s v="mother"/>
    <n v="1"/>
    <n v="2"/>
    <n v="0"/>
    <s v="no"/>
    <s v="no"/>
    <s v="yes"/>
    <s v="no"/>
    <s v="no"/>
    <s v="yes"/>
    <s v="yes"/>
    <s v="no"/>
    <n v="4"/>
    <n v="4"/>
    <n v="3"/>
    <n v="2"/>
    <n v="4"/>
    <n v="5"/>
    <n v="4"/>
    <n v="8"/>
    <n v="9"/>
    <x v="9"/>
    <s v="Fail"/>
    <n v="0"/>
    <n v="0"/>
    <n v="0"/>
    <n v="40"/>
    <n v="0"/>
    <n v="8"/>
    <x v="0"/>
  </r>
  <r>
    <s v="MS"/>
    <s v="M"/>
    <n v="15"/>
    <s v="R"/>
    <s v="LE3"/>
    <s v="T"/>
    <n v="4"/>
    <n v="1"/>
    <s v="health"/>
    <s v="services"/>
    <s v="reputation"/>
    <s v="father"/>
    <n v="1"/>
    <n v="2"/>
    <n v="0"/>
    <s v="no"/>
    <s v="yes"/>
    <s v="no"/>
    <s v="yes"/>
    <s v="yes"/>
    <s v="yes"/>
    <s v="yes"/>
    <s v="no"/>
    <n v="5"/>
    <n v="3"/>
    <n v="4"/>
    <n v="1"/>
    <n v="2"/>
    <n v="2"/>
    <n v="0"/>
    <n v="12"/>
    <n v="13"/>
    <x v="2"/>
    <s v="Pass"/>
    <n v="0"/>
    <n v="0"/>
    <n v="0"/>
    <n v="40"/>
    <n v="0"/>
    <n v="8"/>
    <x v="0"/>
  </r>
  <r>
    <s v="MS"/>
    <s v="M"/>
    <n v="15"/>
    <s v="R"/>
    <s v="LE3"/>
    <s v="T"/>
    <n v="4"/>
    <n v="1"/>
    <s v="health"/>
    <s v="services"/>
    <s v="reputation"/>
    <s v="father"/>
    <n v="1"/>
    <n v="2"/>
    <n v="0"/>
    <s v="no"/>
    <s v="yes"/>
    <s v="no"/>
    <s v="yes"/>
    <s v="yes"/>
    <s v="yes"/>
    <s v="yes"/>
    <s v="no"/>
    <n v="5"/>
    <n v="3"/>
    <n v="4"/>
    <n v="1"/>
    <n v="2"/>
    <n v="2"/>
    <n v="7"/>
    <n v="7"/>
    <n v="9"/>
    <x v="10"/>
    <s v="Fail"/>
    <n v="1"/>
    <n v="0"/>
    <n v="0"/>
    <n v="40"/>
    <n v="50"/>
    <n v="13"/>
    <x v="0"/>
  </r>
  <r>
    <s v="MS"/>
    <s v="M"/>
    <n v="16"/>
    <s v="R"/>
    <s v="GT3"/>
    <s v="T"/>
    <n v="3"/>
    <n v="4"/>
    <s v="other"/>
    <s v="health"/>
    <s v="other"/>
    <s v="mother"/>
    <n v="3"/>
    <n v="2"/>
    <n v="0"/>
    <s v="no"/>
    <s v="no"/>
    <s v="no"/>
    <s v="no"/>
    <s v="no"/>
    <s v="yes"/>
    <s v="no"/>
    <s v="no"/>
    <n v="3"/>
    <n v="4"/>
    <n v="5"/>
    <n v="1"/>
    <n v="2"/>
    <n v="5"/>
    <n v="4"/>
    <n v="9"/>
    <n v="10"/>
    <x v="0"/>
    <s v="Pass"/>
    <n v="0"/>
    <n v="0"/>
    <n v="0"/>
    <n v="40"/>
    <n v="0"/>
    <n v="8"/>
    <x v="0"/>
  </r>
  <r>
    <s v="MS"/>
    <s v="M"/>
    <n v="15"/>
    <s v="R"/>
    <s v="GT3"/>
    <s v="T"/>
    <n v="1"/>
    <n v="1"/>
    <s v="other"/>
    <s v="other"/>
    <s v="course"/>
    <s v="mother"/>
    <n v="4"/>
    <n v="2"/>
    <n v="0"/>
    <s v="no"/>
    <s v="yes"/>
    <s v="no"/>
    <s v="yes"/>
    <s v="yes"/>
    <s v="yes"/>
    <s v="no"/>
    <s v="yes"/>
    <n v="5"/>
    <n v="4"/>
    <n v="5"/>
    <n v="2"/>
    <n v="4"/>
    <n v="4"/>
    <n v="8"/>
    <n v="7"/>
    <n v="9"/>
    <x v="9"/>
    <s v="Fail"/>
    <n v="0"/>
    <n v="0"/>
    <n v="0"/>
    <n v="40"/>
    <n v="0"/>
    <n v="8"/>
    <x v="0"/>
  </r>
  <r>
    <s v="MS"/>
    <s v="M"/>
    <n v="15"/>
    <s v="U"/>
    <s v="LE3"/>
    <s v="T"/>
    <n v="3"/>
    <n v="3"/>
    <s v="at_home"/>
    <s v="at_home"/>
    <s v="reputation"/>
    <s v="father"/>
    <n v="1"/>
    <n v="2"/>
    <n v="0"/>
    <s v="no"/>
    <s v="yes"/>
    <s v="no"/>
    <s v="yes"/>
    <s v="yes"/>
    <s v="yes"/>
    <s v="yes"/>
    <s v="no"/>
    <n v="5"/>
    <n v="3"/>
    <n v="3"/>
    <n v="1"/>
    <n v="1"/>
    <n v="5"/>
    <n v="0"/>
    <n v="11"/>
    <n v="11"/>
    <x v="0"/>
    <s v="Pass"/>
    <n v="0"/>
    <n v="0"/>
    <n v="0"/>
    <n v="40"/>
    <n v="0"/>
    <n v="8"/>
    <x v="0"/>
  </r>
  <r>
    <s v="MS"/>
    <s v="M"/>
    <n v="17"/>
    <s v="R"/>
    <s v="GT3"/>
    <s v="T"/>
    <n v="2"/>
    <n v="1"/>
    <s v="other"/>
    <s v="other"/>
    <s v="other"/>
    <s v="mother"/>
    <n v="3"/>
    <n v="1"/>
    <n v="0"/>
    <s v="no"/>
    <s v="no"/>
    <s v="no"/>
    <s v="yes"/>
    <s v="yes"/>
    <s v="no"/>
    <s v="no"/>
    <s v="yes"/>
    <n v="5"/>
    <n v="5"/>
    <n v="5"/>
    <n v="5"/>
    <n v="5"/>
    <n v="3"/>
    <n v="8"/>
    <n v="8"/>
    <n v="10"/>
    <x v="9"/>
    <s v="Fail"/>
    <n v="1"/>
    <n v="0"/>
    <n v="0"/>
    <n v="70"/>
    <n v="50"/>
    <n v="19"/>
    <x v="0"/>
  </r>
  <r>
    <s v="MS"/>
    <s v="F"/>
    <n v="16"/>
    <s v="R"/>
    <s v="GT3"/>
    <s v="T"/>
    <n v="4"/>
    <n v="4"/>
    <s v="teacher"/>
    <s v="teacher"/>
    <s v="course"/>
    <s v="mother"/>
    <n v="2"/>
    <n v="3"/>
    <n v="0"/>
    <s v="no"/>
    <s v="no"/>
    <s v="no"/>
    <s v="yes"/>
    <s v="yes"/>
    <s v="yes"/>
    <s v="yes"/>
    <s v="yes"/>
    <n v="4"/>
    <n v="2"/>
    <n v="2"/>
    <n v="1"/>
    <n v="1"/>
    <n v="4"/>
    <n v="6"/>
    <n v="16"/>
    <n v="16"/>
    <x v="4"/>
    <s v="Pass"/>
    <n v="0"/>
    <n v="0"/>
    <n v="0"/>
    <n v="0"/>
    <n v="0"/>
    <n v="0"/>
    <x v="0"/>
  </r>
  <r>
    <s v="MS"/>
    <s v="F"/>
    <n v="15"/>
    <s v="R"/>
    <s v="GT3"/>
    <s v="T"/>
    <n v="1"/>
    <n v="2"/>
    <s v="other"/>
    <s v="services"/>
    <s v="course"/>
    <s v="mother"/>
    <n v="2"/>
    <n v="1"/>
    <n v="0"/>
    <s v="no"/>
    <s v="no"/>
    <s v="no"/>
    <s v="no"/>
    <s v="yes"/>
    <s v="yes"/>
    <s v="no"/>
    <s v="no"/>
    <n v="5"/>
    <n v="1"/>
    <n v="2"/>
    <n v="1"/>
    <n v="1"/>
    <n v="1"/>
    <n v="3"/>
    <n v="11"/>
    <n v="13"/>
    <x v="3"/>
    <s v="Pass"/>
    <n v="0"/>
    <n v="0"/>
    <n v="0"/>
    <n v="70"/>
    <n v="0"/>
    <n v="14"/>
    <x v="0"/>
  </r>
  <r>
    <s v="MS"/>
    <s v="F"/>
    <n v="16"/>
    <s v="R"/>
    <s v="GT3"/>
    <s v="T"/>
    <n v="2"/>
    <n v="3"/>
    <s v="other"/>
    <s v="services"/>
    <s v="course"/>
    <s v="mother"/>
    <n v="3"/>
    <n v="2"/>
    <n v="0"/>
    <s v="no"/>
    <s v="yes"/>
    <s v="no"/>
    <s v="no"/>
    <s v="yes"/>
    <s v="yes"/>
    <s v="yes"/>
    <s v="no"/>
    <n v="4"/>
    <n v="5"/>
    <n v="4"/>
    <n v="1"/>
    <n v="2"/>
    <n v="1"/>
    <n v="2"/>
    <n v="15"/>
    <n v="15"/>
    <x v="5"/>
    <s v="Pass"/>
    <n v="0"/>
    <n v="0"/>
    <n v="0"/>
    <n v="40"/>
    <n v="0"/>
    <n v="8"/>
    <x v="0"/>
  </r>
  <r>
    <s v="MS"/>
    <s v="M"/>
    <n v="16"/>
    <s v="R"/>
    <s v="GT3"/>
    <s v="T"/>
    <n v="1"/>
    <n v="2"/>
    <s v="other"/>
    <s v="other"/>
    <s v="course"/>
    <s v="father"/>
    <n v="2"/>
    <n v="2"/>
    <n v="0"/>
    <s v="no"/>
    <s v="no"/>
    <s v="no"/>
    <s v="no"/>
    <s v="yes"/>
    <s v="yes"/>
    <s v="no"/>
    <s v="no"/>
    <n v="4"/>
    <n v="3"/>
    <n v="3"/>
    <n v="1"/>
    <n v="1"/>
    <n v="5"/>
    <n v="0"/>
    <n v="10"/>
    <n v="11"/>
    <x v="0"/>
    <s v="Pass"/>
    <n v="0"/>
    <n v="0"/>
    <n v="0"/>
    <n v="40"/>
    <n v="0"/>
    <n v="8"/>
    <x v="0"/>
  </r>
  <r>
    <s v="MS"/>
    <s v="F"/>
    <n v="16"/>
    <s v="R"/>
    <s v="GT3"/>
    <s v="T"/>
    <n v="2"/>
    <n v="2"/>
    <s v="other"/>
    <s v="other"/>
    <s v="course"/>
    <s v="mother"/>
    <n v="3"/>
    <n v="2"/>
    <n v="0"/>
    <s v="no"/>
    <s v="yes"/>
    <s v="no"/>
    <s v="no"/>
    <s v="yes"/>
    <s v="yes"/>
    <s v="yes"/>
    <s v="no"/>
    <n v="4"/>
    <n v="4"/>
    <n v="5"/>
    <n v="1"/>
    <n v="1"/>
    <n v="4"/>
    <n v="4"/>
    <n v="9"/>
    <n v="10"/>
    <x v="0"/>
    <s v="Pass"/>
    <n v="0"/>
    <n v="0"/>
    <n v="0"/>
    <n v="40"/>
    <n v="0"/>
    <n v="8"/>
    <x v="0"/>
  </r>
  <r>
    <s v="MS"/>
    <s v="F"/>
    <n v="16"/>
    <s v="U"/>
    <s v="GT3"/>
    <s v="T"/>
    <n v="1"/>
    <n v="2"/>
    <s v="other"/>
    <s v="services"/>
    <s v="course"/>
    <s v="mother"/>
    <n v="1"/>
    <n v="3"/>
    <n v="1"/>
    <s v="no"/>
    <s v="yes"/>
    <s v="no"/>
    <s v="no"/>
    <s v="yes"/>
    <s v="yes"/>
    <s v="no"/>
    <s v="no"/>
    <n v="1"/>
    <n v="3"/>
    <n v="2"/>
    <n v="1"/>
    <n v="2"/>
    <n v="4"/>
    <n v="0"/>
    <n v="10"/>
    <n v="8"/>
    <x v="10"/>
    <s v="Fail"/>
    <n v="0"/>
    <n v="60"/>
    <n v="0"/>
    <n v="0"/>
    <n v="0"/>
    <n v="24"/>
    <x v="0"/>
  </r>
  <r>
    <s v="MS"/>
    <s v="F"/>
    <n v="16"/>
    <s v="U"/>
    <s v="GT3"/>
    <s v="T"/>
    <n v="1"/>
    <n v="2"/>
    <s v="other"/>
    <s v="services"/>
    <s v="course"/>
    <s v="mother"/>
    <n v="1"/>
    <n v="3"/>
    <n v="1"/>
    <s v="no"/>
    <s v="yes"/>
    <s v="no"/>
    <s v="no"/>
    <s v="yes"/>
    <s v="yes"/>
    <s v="no"/>
    <s v="no"/>
    <n v="1"/>
    <n v="3"/>
    <n v="2"/>
    <n v="1"/>
    <n v="2"/>
    <n v="4"/>
    <n v="3"/>
    <n v="9"/>
    <n v="8"/>
    <x v="10"/>
    <s v="Fail"/>
    <n v="0"/>
    <n v="60"/>
    <n v="0"/>
    <n v="0"/>
    <n v="0"/>
    <n v="24"/>
    <x v="0"/>
  </r>
  <r>
    <s v="MS"/>
    <s v="F"/>
    <n v="15"/>
    <s v="U"/>
    <s v="GT3"/>
    <s v="T"/>
    <n v="2"/>
    <n v="1"/>
    <s v="at_home"/>
    <s v="other"/>
    <s v="home"/>
    <s v="mother"/>
    <n v="1"/>
    <n v="2"/>
    <n v="0"/>
    <s v="yes"/>
    <s v="yes"/>
    <s v="no"/>
    <s v="no"/>
    <s v="no"/>
    <s v="yes"/>
    <s v="yes"/>
    <s v="no"/>
    <n v="4"/>
    <n v="4"/>
    <n v="2"/>
    <n v="3"/>
    <n v="3"/>
    <n v="2"/>
    <n v="0"/>
    <n v="9"/>
    <n v="10"/>
    <x v="9"/>
    <s v="Fail"/>
    <n v="1"/>
    <n v="0"/>
    <n v="0"/>
    <n v="40"/>
    <n v="50"/>
    <n v="13"/>
    <x v="0"/>
  </r>
  <r>
    <s v="MS"/>
    <s v="F"/>
    <n v="16"/>
    <s v="U"/>
    <s v="GT3"/>
    <s v="T"/>
    <n v="1"/>
    <n v="1"/>
    <s v="at_home"/>
    <s v="other"/>
    <s v="course"/>
    <s v="father"/>
    <n v="1"/>
    <n v="2"/>
    <n v="0"/>
    <s v="no"/>
    <s v="yes"/>
    <s v="no"/>
    <s v="no"/>
    <s v="no"/>
    <s v="yes"/>
    <s v="no"/>
    <s v="yes"/>
    <n v="5"/>
    <n v="4"/>
    <n v="3"/>
    <n v="2"/>
    <n v="1"/>
    <n v="2"/>
    <n v="0"/>
    <n v="13"/>
    <n v="14"/>
    <x v="5"/>
    <s v="Pass"/>
    <n v="0"/>
    <n v="0"/>
    <n v="0"/>
    <n v="40"/>
    <n v="0"/>
    <n v="8"/>
    <x v="0"/>
  </r>
  <r>
    <s v="MS"/>
    <s v="M"/>
    <n v="17"/>
    <s v="R"/>
    <s v="LE3"/>
    <s v="T"/>
    <n v="1"/>
    <n v="2"/>
    <s v="at_home"/>
    <s v="services"/>
    <s v="reputation"/>
    <s v="mother"/>
    <n v="1"/>
    <n v="1"/>
    <n v="0"/>
    <s v="no"/>
    <s v="yes"/>
    <s v="no"/>
    <s v="yes"/>
    <s v="yes"/>
    <s v="yes"/>
    <s v="yes"/>
    <s v="no"/>
    <n v="5"/>
    <n v="5"/>
    <n v="5"/>
    <n v="5"/>
    <n v="5"/>
    <n v="3"/>
    <n v="4"/>
    <n v="10"/>
    <n v="11"/>
    <x v="0"/>
    <s v="Pass"/>
    <n v="0"/>
    <n v="0"/>
    <n v="0"/>
    <n v="70"/>
    <n v="0"/>
    <n v="14"/>
    <x v="0"/>
  </r>
  <r>
    <s v="MS"/>
    <s v="F"/>
    <n v="16"/>
    <s v="R"/>
    <s v="GT3"/>
    <s v="T"/>
    <n v="1"/>
    <n v="1"/>
    <s v="other"/>
    <s v="other"/>
    <s v="home"/>
    <s v="father"/>
    <n v="4"/>
    <n v="4"/>
    <n v="0"/>
    <s v="no"/>
    <s v="yes"/>
    <s v="no"/>
    <s v="no"/>
    <s v="no"/>
    <s v="yes"/>
    <s v="yes"/>
    <s v="no"/>
    <n v="4"/>
    <n v="3"/>
    <n v="2"/>
    <n v="1"/>
    <n v="1"/>
    <n v="1"/>
    <n v="0"/>
    <n v="13"/>
    <n v="10"/>
    <x v="3"/>
    <s v="Pass"/>
    <n v="0"/>
    <n v="0"/>
    <n v="0"/>
    <n v="0"/>
    <n v="0"/>
    <n v="0"/>
    <x v="0"/>
  </r>
  <r>
    <s v="MS"/>
    <s v="F"/>
    <n v="16"/>
    <s v="R"/>
    <s v="GT3"/>
    <s v="T"/>
    <n v="1"/>
    <n v="1"/>
    <s v="at_home"/>
    <s v="other"/>
    <s v="other"/>
    <s v="father"/>
    <n v="4"/>
    <n v="3"/>
    <n v="0"/>
    <s v="yes"/>
    <s v="yes"/>
    <s v="no"/>
    <s v="no"/>
    <s v="yes"/>
    <s v="yes"/>
    <s v="no"/>
    <s v="no"/>
    <n v="4"/>
    <n v="4"/>
    <n v="3"/>
    <n v="1"/>
    <n v="1"/>
    <n v="5"/>
    <n v="2"/>
    <n v="10"/>
    <n v="9"/>
    <x v="7"/>
    <s v="Pass"/>
    <n v="0"/>
    <n v="0"/>
    <n v="0"/>
    <n v="0"/>
    <n v="0"/>
    <n v="0"/>
    <x v="0"/>
  </r>
  <r>
    <s v="MS"/>
    <s v="F"/>
    <n v="15"/>
    <s v="R"/>
    <s v="GT3"/>
    <s v="T"/>
    <n v="1"/>
    <n v="1"/>
    <s v="at_home"/>
    <s v="other"/>
    <s v="home"/>
    <s v="father"/>
    <n v="2"/>
    <n v="2"/>
    <n v="0"/>
    <s v="no"/>
    <s v="yes"/>
    <s v="no"/>
    <s v="yes"/>
    <s v="yes"/>
    <s v="yes"/>
    <s v="yes"/>
    <s v="no"/>
    <n v="4"/>
    <n v="3"/>
    <n v="3"/>
    <n v="1"/>
    <n v="1"/>
    <n v="2"/>
    <n v="1"/>
    <n v="11"/>
    <n v="10"/>
    <x v="0"/>
    <s v="Pass"/>
    <n v="0"/>
    <n v="0"/>
    <n v="0"/>
    <n v="40"/>
    <n v="0"/>
    <n v="8"/>
    <x v="0"/>
  </r>
  <r>
    <s v="MS"/>
    <s v="F"/>
    <n v="16"/>
    <s v="R"/>
    <s v="GT3"/>
    <s v="T"/>
    <n v="1"/>
    <n v="1"/>
    <s v="at_home"/>
    <s v="other"/>
    <s v="other"/>
    <s v="mother"/>
    <n v="2"/>
    <n v="1"/>
    <n v="0"/>
    <s v="no"/>
    <s v="no"/>
    <s v="no"/>
    <s v="yes"/>
    <s v="yes"/>
    <s v="yes"/>
    <s v="yes"/>
    <s v="yes"/>
    <n v="4"/>
    <n v="2"/>
    <n v="2"/>
    <n v="4"/>
    <n v="3"/>
    <n v="2"/>
    <n v="0"/>
    <n v="13"/>
    <n v="12"/>
    <x v="2"/>
    <s v="Pass"/>
    <n v="0"/>
    <n v="0"/>
    <n v="0"/>
    <n v="70"/>
    <n v="0"/>
    <n v="14"/>
    <x v="0"/>
  </r>
  <r>
    <s v="MS"/>
    <s v="F"/>
    <n v="15"/>
    <s v="R"/>
    <s v="GT3"/>
    <s v="T"/>
    <n v="1"/>
    <n v="1"/>
    <s v="at_home"/>
    <s v="at_home"/>
    <s v="course"/>
    <s v="father"/>
    <n v="3"/>
    <n v="2"/>
    <n v="0"/>
    <s v="no"/>
    <s v="yes"/>
    <s v="no"/>
    <s v="no"/>
    <s v="yes"/>
    <s v="yes"/>
    <s v="no"/>
    <s v="no"/>
    <n v="4"/>
    <n v="2"/>
    <n v="1"/>
    <n v="1"/>
    <n v="2"/>
    <n v="2"/>
    <n v="0"/>
    <n v="13"/>
    <n v="14"/>
    <x v="2"/>
    <s v="Pass"/>
    <n v="0"/>
    <n v="0"/>
    <n v="0"/>
    <n v="40"/>
    <n v="0"/>
    <n v="8"/>
    <x v="0"/>
  </r>
  <r>
    <s v="MS"/>
    <s v="F"/>
    <n v="15"/>
    <s v="R"/>
    <s v="LE3"/>
    <s v="T"/>
    <n v="2"/>
    <n v="2"/>
    <s v="other"/>
    <s v="other"/>
    <s v="other"/>
    <s v="father"/>
    <n v="1"/>
    <n v="3"/>
    <n v="0"/>
    <s v="yes"/>
    <s v="yes"/>
    <s v="no"/>
    <s v="no"/>
    <s v="yes"/>
    <s v="yes"/>
    <s v="no"/>
    <s v="no"/>
    <n v="4"/>
    <n v="4"/>
    <n v="3"/>
    <n v="2"/>
    <n v="2"/>
    <n v="5"/>
    <n v="2"/>
    <n v="14"/>
    <n v="11"/>
    <x v="1"/>
    <s v="Pass"/>
    <n v="0"/>
    <n v="0"/>
    <n v="0"/>
    <n v="0"/>
    <n v="0"/>
    <n v="0"/>
    <x v="0"/>
  </r>
  <r>
    <s v="MS"/>
    <s v="M"/>
    <n v="16"/>
    <s v="R"/>
    <s v="GT3"/>
    <s v="T"/>
    <n v="1"/>
    <n v="1"/>
    <s v="at_home"/>
    <s v="other"/>
    <s v="other"/>
    <s v="father"/>
    <n v="2"/>
    <n v="1"/>
    <n v="0"/>
    <s v="no"/>
    <s v="no"/>
    <s v="no"/>
    <s v="yes"/>
    <s v="yes"/>
    <s v="yes"/>
    <s v="no"/>
    <s v="no"/>
    <n v="3"/>
    <n v="4"/>
    <n v="4"/>
    <n v="3"/>
    <n v="4"/>
    <n v="5"/>
    <n v="6"/>
    <n v="11"/>
    <n v="11"/>
    <x v="0"/>
    <s v="Pass"/>
    <n v="0"/>
    <n v="0"/>
    <n v="0"/>
    <n v="70"/>
    <n v="0"/>
    <n v="14"/>
    <x v="0"/>
  </r>
  <r>
    <s v="MS"/>
    <s v="F"/>
    <n v="18"/>
    <s v="U"/>
    <s v="GT3"/>
    <s v="T"/>
    <n v="1"/>
    <n v="2"/>
    <s v="other"/>
    <s v="other"/>
    <s v="course"/>
    <s v="father"/>
    <n v="1"/>
    <n v="2"/>
    <n v="1"/>
    <s v="no"/>
    <s v="yes"/>
    <s v="no"/>
    <s v="yes"/>
    <s v="yes"/>
    <s v="yes"/>
    <s v="yes"/>
    <s v="yes"/>
    <n v="3"/>
    <n v="4"/>
    <n v="4"/>
    <n v="2"/>
    <n v="3"/>
    <n v="5"/>
    <n v="9"/>
    <n v="9"/>
    <n v="8"/>
    <x v="10"/>
    <s v="Fail"/>
    <n v="0"/>
    <n v="60"/>
    <n v="0"/>
    <n v="40"/>
    <n v="0"/>
    <n v="32"/>
    <x v="1"/>
  </r>
  <r>
    <s v="MS"/>
    <s v="M"/>
    <n v="15"/>
    <s v="U"/>
    <s v="GT3"/>
    <s v="T"/>
    <n v="3"/>
    <n v="1"/>
    <s v="other"/>
    <s v="services"/>
    <s v="home"/>
    <s v="mother"/>
    <n v="2"/>
    <n v="1"/>
    <n v="0"/>
    <s v="no"/>
    <s v="yes"/>
    <s v="no"/>
    <s v="no"/>
    <s v="yes"/>
    <s v="yes"/>
    <s v="no"/>
    <s v="no"/>
    <n v="3"/>
    <n v="2"/>
    <n v="3"/>
    <n v="1"/>
    <n v="3"/>
    <n v="4"/>
    <n v="0"/>
    <n v="10"/>
    <n v="9"/>
    <x v="0"/>
    <s v="Pass"/>
    <n v="0"/>
    <n v="0"/>
    <n v="0"/>
    <n v="70"/>
    <n v="0"/>
    <n v="14"/>
    <x v="0"/>
  </r>
  <r>
    <s v="MS"/>
    <s v="F"/>
    <n v="16"/>
    <s v="R"/>
    <s v="GT3"/>
    <s v="T"/>
    <n v="2"/>
    <n v="2"/>
    <s v="other"/>
    <s v="services"/>
    <s v="course"/>
    <s v="father"/>
    <n v="3"/>
    <n v="2"/>
    <n v="0"/>
    <s v="no"/>
    <s v="yes"/>
    <s v="no"/>
    <s v="yes"/>
    <s v="yes"/>
    <s v="yes"/>
    <s v="yes"/>
    <s v="no"/>
    <n v="5"/>
    <n v="3"/>
    <n v="4"/>
    <n v="1"/>
    <n v="1"/>
    <n v="2"/>
    <n v="1"/>
    <n v="14"/>
    <n v="13"/>
    <x v="2"/>
    <s v="Pass"/>
    <n v="0"/>
    <n v="0"/>
    <n v="0"/>
    <n v="40"/>
    <n v="0"/>
    <n v="8"/>
    <x v="0"/>
  </r>
  <r>
    <s v="MS"/>
    <s v="M"/>
    <n v="15"/>
    <s v="U"/>
    <s v="GT3"/>
    <s v="T"/>
    <n v="2"/>
    <n v="2"/>
    <s v="health"/>
    <s v="other"/>
    <s v="reputation"/>
    <s v="mother"/>
    <n v="3"/>
    <n v="1"/>
    <n v="0"/>
    <s v="no"/>
    <s v="no"/>
    <s v="no"/>
    <s v="no"/>
    <s v="yes"/>
    <s v="yes"/>
    <s v="no"/>
    <s v="no"/>
    <n v="4"/>
    <n v="3"/>
    <n v="3"/>
    <n v="1"/>
    <n v="2"/>
    <n v="4"/>
    <n v="1"/>
    <n v="13"/>
    <n v="12"/>
    <x v="3"/>
    <s v="Pass"/>
    <n v="0"/>
    <n v="0"/>
    <n v="0"/>
    <n v="70"/>
    <n v="0"/>
    <n v="14"/>
    <x v="0"/>
  </r>
  <r>
    <s v="MS"/>
    <s v="M"/>
    <n v="16"/>
    <s v="U"/>
    <s v="GT3"/>
    <s v="T"/>
    <n v="4"/>
    <n v="4"/>
    <s v="other"/>
    <s v="teacher"/>
    <s v="course"/>
    <s v="father"/>
    <n v="1"/>
    <n v="2"/>
    <n v="0"/>
    <s v="no"/>
    <s v="yes"/>
    <s v="no"/>
    <s v="yes"/>
    <s v="yes"/>
    <s v="yes"/>
    <s v="no"/>
    <s v="yes"/>
    <n v="4"/>
    <n v="3"/>
    <n v="1"/>
    <n v="1"/>
    <n v="1"/>
    <n v="3"/>
    <n v="0"/>
    <n v="13"/>
    <n v="12"/>
    <x v="3"/>
    <s v="Pass"/>
    <n v="0"/>
    <n v="0"/>
    <n v="0"/>
    <n v="40"/>
    <n v="0"/>
    <n v="8"/>
    <x v="0"/>
  </r>
  <r>
    <s v="MS"/>
    <s v="F"/>
    <n v="15"/>
    <s v="R"/>
    <s v="GT3"/>
    <s v="T"/>
    <n v="3"/>
    <n v="3"/>
    <s v="services"/>
    <s v="other"/>
    <s v="reputation"/>
    <s v="mother"/>
    <n v="1"/>
    <n v="2"/>
    <n v="0"/>
    <s v="no"/>
    <s v="yes"/>
    <s v="no"/>
    <s v="no"/>
    <s v="yes"/>
    <s v="yes"/>
    <s v="yes"/>
    <s v="yes"/>
    <n v="4"/>
    <n v="5"/>
    <n v="4"/>
    <n v="1"/>
    <n v="1"/>
    <n v="1"/>
    <n v="4"/>
    <n v="13"/>
    <n v="12"/>
    <x v="1"/>
    <s v="Pass"/>
    <n v="0"/>
    <n v="0"/>
    <n v="0"/>
    <n v="40"/>
    <n v="0"/>
    <n v="8"/>
    <x v="0"/>
  </r>
  <r>
    <s v="MS"/>
    <s v="F"/>
    <n v="16"/>
    <s v="R"/>
    <s v="GT3"/>
    <s v="T"/>
    <n v="2"/>
    <n v="2"/>
    <s v="at_home"/>
    <s v="other"/>
    <s v="course"/>
    <s v="mother"/>
    <n v="2"/>
    <n v="2"/>
    <n v="1"/>
    <s v="no"/>
    <s v="yes"/>
    <s v="no"/>
    <s v="yes"/>
    <s v="no"/>
    <s v="yes"/>
    <s v="no"/>
    <s v="no"/>
    <n v="4"/>
    <n v="4"/>
    <n v="4"/>
    <n v="2"/>
    <n v="3"/>
    <n v="5"/>
    <n v="2"/>
    <n v="12"/>
    <n v="11"/>
    <x v="1"/>
    <s v="Pass"/>
    <n v="0"/>
    <n v="60"/>
    <n v="0"/>
    <n v="40"/>
    <n v="0"/>
    <n v="32"/>
    <x v="1"/>
  </r>
  <r>
    <s v="MS"/>
    <s v="F"/>
    <n v="16"/>
    <s v="R"/>
    <s v="LE3"/>
    <s v="T"/>
    <n v="2"/>
    <n v="2"/>
    <s v="other"/>
    <s v="other"/>
    <s v="home"/>
    <s v="father"/>
    <n v="3"/>
    <n v="1"/>
    <n v="0"/>
    <s v="no"/>
    <s v="yes"/>
    <s v="no"/>
    <s v="yes"/>
    <s v="yes"/>
    <s v="yes"/>
    <s v="no"/>
    <s v="yes"/>
    <n v="4"/>
    <n v="3"/>
    <n v="2"/>
    <n v="1"/>
    <n v="1"/>
    <n v="4"/>
    <n v="0"/>
    <n v="14"/>
    <n v="14"/>
    <x v="8"/>
    <s v="Pass"/>
    <n v="0"/>
    <n v="0"/>
    <n v="0"/>
    <n v="70"/>
    <n v="0"/>
    <n v="14"/>
    <x v="0"/>
  </r>
  <r>
    <s v="MS"/>
    <s v="M"/>
    <n v="16"/>
    <s v="U"/>
    <s v="LE3"/>
    <s v="T"/>
    <n v="2"/>
    <n v="1"/>
    <s v="at_home"/>
    <s v="services"/>
    <s v="course"/>
    <s v="mother"/>
    <n v="2"/>
    <n v="1"/>
    <n v="0"/>
    <s v="no"/>
    <s v="yes"/>
    <s v="no"/>
    <s v="yes"/>
    <s v="yes"/>
    <s v="yes"/>
    <s v="yes"/>
    <s v="no"/>
    <n v="2"/>
    <n v="4"/>
    <n v="3"/>
    <n v="2"/>
    <n v="3"/>
    <n v="4"/>
    <n v="4"/>
    <n v="10"/>
    <n v="8"/>
    <x v="7"/>
    <s v="Pass"/>
    <n v="0"/>
    <n v="0"/>
    <n v="0"/>
    <n v="70"/>
    <n v="0"/>
    <n v="14"/>
    <x v="0"/>
  </r>
  <r>
    <s v="MS"/>
    <s v="M"/>
    <n v="15"/>
    <s v="R"/>
    <s v="LE3"/>
    <s v="T"/>
    <n v="1"/>
    <n v="3"/>
    <s v="at_home"/>
    <s v="other"/>
    <s v="reputation"/>
    <s v="father"/>
    <n v="3"/>
    <n v="1"/>
    <n v="0"/>
    <s v="no"/>
    <s v="yes"/>
    <s v="no"/>
    <s v="yes"/>
    <s v="yes"/>
    <s v="yes"/>
    <s v="yes"/>
    <s v="no"/>
    <n v="4"/>
    <n v="2"/>
    <n v="4"/>
    <n v="3"/>
    <n v="5"/>
    <n v="3"/>
    <n v="2"/>
    <n v="10"/>
    <n v="11"/>
    <x v="0"/>
    <s v="Pass"/>
    <n v="0"/>
    <n v="0"/>
    <n v="0"/>
    <n v="70"/>
    <n v="0"/>
    <n v="14"/>
    <x v="0"/>
  </r>
  <r>
    <s v="MS"/>
    <s v="F"/>
    <n v="15"/>
    <s v="U"/>
    <s v="GT3"/>
    <s v="T"/>
    <n v="2"/>
    <n v="2"/>
    <s v="other"/>
    <s v="services"/>
    <s v="course"/>
    <s v="mother"/>
    <n v="2"/>
    <n v="3"/>
    <n v="0"/>
    <s v="no"/>
    <s v="yes"/>
    <s v="no"/>
    <s v="yes"/>
    <s v="yes"/>
    <s v="yes"/>
    <s v="no"/>
    <s v="no"/>
    <n v="5"/>
    <n v="3"/>
    <n v="2"/>
    <n v="1"/>
    <n v="1"/>
    <n v="4"/>
    <n v="0"/>
    <n v="12"/>
    <n v="13"/>
    <x v="2"/>
    <s v="Pass"/>
    <n v="0"/>
    <n v="0"/>
    <n v="0"/>
    <n v="0"/>
    <n v="0"/>
    <n v="0"/>
    <x v="0"/>
  </r>
  <r>
    <s v="MS"/>
    <s v="F"/>
    <n v="16"/>
    <s v="R"/>
    <s v="LE3"/>
    <s v="T"/>
    <n v="2"/>
    <n v="1"/>
    <s v="other"/>
    <s v="other"/>
    <s v="home"/>
    <s v="mother"/>
    <n v="1"/>
    <n v="1"/>
    <n v="0"/>
    <s v="no"/>
    <s v="yes"/>
    <s v="no"/>
    <s v="no"/>
    <s v="yes"/>
    <s v="yes"/>
    <s v="yes"/>
    <s v="yes"/>
    <n v="5"/>
    <n v="4"/>
    <n v="3"/>
    <n v="1"/>
    <n v="1"/>
    <n v="5"/>
    <n v="2"/>
    <n v="10"/>
    <n v="8"/>
    <x v="10"/>
    <s v="Fail"/>
    <n v="0"/>
    <n v="0"/>
    <n v="0"/>
    <n v="70"/>
    <n v="0"/>
    <n v="14"/>
    <x v="0"/>
  </r>
  <r>
    <s v="MS"/>
    <s v="M"/>
    <n v="15"/>
    <s v="U"/>
    <s v="GT3"/>
    <s v="T"/>
    <n v="3"/>
    <n v="3"/>
    <s v="services"/>
    <s v="services"/>
    <s v="course"/>
    <s v="father"/>
    <n v="2"/>
    <n v="1"/>
    <n v="0"/>
    <s v="no"/>
    <s v="yes"/>
    <s v="no"/>
    <s v="yes"/>
    <s v="no"/>
    <s v="yes"/>
    <s v="yes"/>
    <s v="no"/>
    <n v="4"/>
    <n v="3"/>
    <n v="3"/>
    <n v="2"/>
    <n v="4"/>
    <n v="3"/>
    <n v="11"/>
    <n v="12"/>
    <n v="10"/>
    <x v="0"/>
    <s v="Pass"/>
    <n v="0"/>
    <n v="0"/>
    <n v="50"/>
    <n v="70"/>
    <n v="0"/>
    <n v="29"/>
    <x v="0"/>
  </r>
  <r>
    <s v="MS"/>
    <s v="F"/>
    <n v="16"/>
    <s v="R"/>
    <s v="GT3"/>
    <s v="T"/>
    <n v="1"/>
    <n v="1"/>
    <s v="at_home"/>
    <s v="other"/>
    <s v="course"/>
    <s v="father"/>
    <n v="2"/>
    <n v="2"/>
    <n v="3"/>
    <s v="yes"/>
    <s v="yes"/>
    <s v="no"/>
    <s v="no"/>
    <s v="yes"/>
    <s v="yes"/>
    <s v="no"/>
    <s v="no"/>
    <n v="3"/>
    <n v="4"/>
    <n v="3"/>
    <n v="1"/>
    <n v="1"/>
    <n v="1"/>
    <n v="0"/>
    <n v="7"/>
    <n v="7"/>
    <x v="10"/>
    <s v="Fail"/>
    <n v="0"/>
    <n v="100"/>
    <n v="0"/>
    <n v="40"/>
    <n v="0"/>
    <n v="48"/>
    <x v="1"/>
  </r>
  <r>
    <s v="MS"/>
    <s v="F"/>
    <n v="17"/>
    <s v="U"/>
    <s v="GT3"/>
    <s v="T"/>
    <n v="2"/>
    <n v="2"/>
    <s v="other"/>
    <s v="at_home"/>
    <s v="course"/>
    <s v="mother"/>
    <n v="1"/>
    <n v="1"/>
    <n v="0"/>
    <s v="no"/>
    <s v="yes"/>
    <s v="no"/>
    <s v="yes"/>
    <s v="yes"/>
    <s v="no"/>
    <s v="no"/>
    <s v="no"/>
    <n v="4"/>
    <n v="5"/>
    <n v="3"/>
    <n v="1"/>
    <n v="1"/>
    <n v="5"/>
    <n v="4"/>
    <n v="9"/>
    <n v="9"/>
    <x v="7"/>
    <s v="Pass"/>
    <n v="0"/>
    <n v="0"/>
    <n v="0"/>
    <n v="70"/>
    <n v="0"/>
    <n v="14"/>
    <x v="0"/>
  </r>
  <r>
    <s v="MS"/>
    <s v="F"/>
    <n v="19"/>
    <s v="U"/>
    <s v="GT3"/>
    <s v="T"/>
    <n v="2"/>
    <n v="3"/>
    <s v="at_home"/>
    <s v="services"/>
    <s v="course"/>
    <s v="other"/>
    <n v="1"/>
    <n v="1"/>
    <n v="1"/>
    <s v="no"/>
    <s v="no"/>
    <s v="no"/>
    <s v="no"/>
    <s v="yes"/>
    <s v="no"/>
    <s v="yes"/>
    <s v="yes"/>
    <n v="4"/>
    <n v="4"/>
    <n v="4"/>
    <n v="1"/>
    <n v="1"/>
    <n v="2"/>
    <n v="0"/>
    <n v="9"/>
    <n v="9"/>
    <x v="7"/>
    <s v="Pass"/>
    <n v="0"/>
    <n v="60"/>
    <n v="0"/>
    <n v="70"/>
    <n v="0"/>
    <n v="38"/>
    <x v="1"/>
  </r>
  <r>
    <s v="MS"/>
    <s v="F"/>
    <n v="17"/>
    <s v="R"/>
    <s v="GT3"/>
    <s v="T"/>
    <n v="2"/>
    <n v="1"/>
    <s v="at_home"/>
    <s v="other"/>
    <s v="course"/>
    <s v="mother"/>
    <n v="3"/>
    <n v="1"/>
    <n v="0"/>
    <s v="no"/>
    <s v="yes"/>
    <s v="no"/>
    <s v="yes"/>
    <s v="yes"/>
    <s v="no"/>
    <s v="no"/>
    <s v="yes"/>
    <n v="5"/>
    <n v="5"/>
    <n v="3"/>
    <n v="1"/>
    <n v="1"/>
    <n v="3"/>
    <n v="2"/>
    <n v="9"/>
    <n v="10"/>
    <x v="0"/>
    <s v="Pass"/>
    <n v="0"/>
    <n v="0"/>
    <n v="0"/>
    <n v="70"/>
    <n v="0"/>
    <n v="14"/>
    <x v="0"/>
  </r>
  <r>
    <s v="MS"/>
    <s v="F"/>
    <n v="15"/>
    <s v="R"/>
    <s v="LE3"/>
    <s v="T"/>
    <n v="1"/>
    <n v="1"/>
    <s v="at_home"/>
    <s v="other"/>
    <s v="course"/>
    <s v="mother"/>
    <n v="2"/>
    <n v="1"/>
    <n v="0"/>
    <s v="no"/>
    <s v="yes"/>
    <s v="no"/>
    <s v="no"/>
    <s v="yes"/>
    <s v="no"/>
    <s v="no"/>
    <s v="yes"/>
    <n v="5"/>
    <n v="2"/>
    <n v="1"/>
    <n v="1"/>
    <n v="3"/>
    <n v="4"/>
    <n v="0"/>
    <n v="9"/>
    <n v="10"/>
    <x v="9"/>
    <s v="Fail"/>
    <n v="1"/>
    <n v="0"/>
    <n v="0"/>
    <n v="70"/>
    <n v="50"/>
    <n v="19"/>
    <x v="0"/>
  </r>
  <r>
    <s v="MS"/>
    <s v="F"/>
    <n v="16"/>
    <s v="R"/>
    <s v="GT3"/>
    <s v="T"/>
    <n v="2"/>
    <n v="2"/>
    <s v="other"/>
    <s v="other"/>
    <s v="course"/>
    <s v="father"/>
    <n v="3"/>
    <n v="2"/>
    <n v="0"/>
    <s v="no"/>
    <s v="yes"/>
    <s v="no"/>
    <s v="no"/>
    <s v="yes"/>
    <s v="no"/>
    <s v="yes"/>
    <s v="no"/>
    <n v="3"/>
    <n v="4"/>
    <n v="5"/>
    <n v="1"/>
    <n v="2"/>
    <n v="1"/>
    <n v="1"/>
    <n v="9"/>
    <n v="10"/>
    <x v="0"/>
    <s v="Pass"/>
    <n v="0"/>
    <n v="0"/>
    <n v="0"/>
    <n v="40"/>
    <n v="0"/>
    <n v="8"/>
    <x v="0"/>
  </r>
  <r>
    <s v="MS"/>
    <s v="F"/>
    <n v="16"/>
    <s v="U"/>
    <s v="LE3"/>
    <s v="A"/>
    <n v="2"/>
    <n v="2"/>
    <s v="other"/>
    <s v="other"/>
    <s v="home"/>
    <s v="mother"/>
    <n v="1"/>
    <n v="1"/>
    <n v="0"/>
    <s v="no"/>
    <s v="yes"/>
    <s v="no"/>
    <s v="no"/>
    <s v="yes"/>
    <s v="no"/>
    <s v="no"/>
    <s v="no"/>
    <n v="4"/>
    <n v="3"/>
    <n v="4"/>
    <n v="1"/>
    <n v="2"/>
    <n v="1"/>
    <n v="6"/>
    <n v="7"/>
    <n v="7"/>
    <x v="10"/>
    <s v="Fail"/>
    <n v="0"/>
    <n v="0"/>
    <n v="0"/>
    <n v="70"/>
    <n v="0"/>
    <n v="14"/>
    <x v="0"/>
  </r>
  <r>
    <s v="MS"/>
    <s v="F"/>
    <n v="17"/>
    <s v="R"/>
    <s v="GT3"/>
    <s v="T"/>
    <n v="2"/>
    <n v="2"/>
    <s v="at_home"/>
    <s v="other"/>
    <s v="course"/>
    <s v="mother"/>
    <n v="2"/>
    <n v="2"/>
    <n v="0"/>
    <s v="no"/>
    <s v="yes"/>
    <s v="no"/>
    <s v="no"/>
    <s v="yes"/>
    <s v="yes"/>
    <s v="yes"/>
    <s v="no"/>
    <n v="4"/>
    <n v="3"/>
    <n v="5"/>
    <n v="1"/>
    <n v="2"/>
    <n v="4"/>
    <n v="0"/>
    <n v="11"/>
    <n v="10"/>
    <x v="0"/>
    <s v="Pass"/>
    <n v="0"/>
    <n v="0"/>
    <n v="0"/>
    <n v="40"/>
    <n v="0"/>
    <n v="8"/>
    <x v="0"/>
  </r>
  <r>
    <s v="MS"/>
    <s v="F"/>
    <n v="16"/>
    <s v="U"/>
    <s v="GT3"/>
    <s v="T"/>
    <n v="2"/>
    <n v="2"/>
    <s v="other"/>
    <s v="services"/>
    <s v="course"/>
    <s v="father"/>
    <n v="1"/>
    <n v="1"/>
    <n v="1"/>
    <s v="no"/>
    <s v="yes"/>
    <s v="yes"/>
    <s v="yes"/>
    <s v="no"/>
    <s v="yes"/>
    <s v="yes"/>
    <s v="no"/>
    <n v="4"/>
    <n v="4"/>
    <n v="3"/>
    <n v="1"/>
    <n v="4"/>
    <n v="3"/>
    <n v="1"/>
    <n v="9"/>
    <n v="10"/>
    <x v="7"/>
    <s v="Pass"/>
    <n v="0"/>
    <n v="60"/>
    <n v="0"/>
    <n v="70"/>
    <n v="0"/>
    <n v="38"/>
    <x v="1"/>
  </r>
  <r>
    <s v="MS"/>
    <s v="F"/>
    <n v="18"/>
    <s v="R"/>
    <s v="LE3"/>
    <s v="A"/>
    <n v="3"/>
    <n v="2"/>
    <s v="other"/>
    <s v="other"/>
    <s v="course"/>
    <s v="other"/>
    <n v="2"/>
    <n v="3"/>
    <n v="2"/>
    <s v="no"/>
    <s v="yes"/>
    <s v="no"/>
    <s v="no"/>
    <s v="no"/>
    <s v="no"/>
    <s v="no"/>
    <s v="yes"/>
    <n v="3"/>
    <n v="3"/>
    <n v="2"/>
    <n v="1"/>
    <n v="1"/>
    <n v="2"/>
    <n v="6"/>
    <n v="7"/>
    <n v="9"/>
    <x v="7"/>
    <s v="Pass"/>
    <n v="0"/>
    <n v="100"/>
    <n v="0"/>
    <n v="0"/>
    <n v="0"/>
    <n v="40"/>
    <x v="1"/>
  </r>
  <r>
    <s v="MS"/>
    <s v="F"/>
    <n v="19"/>
    <s v="U"/>
    <s v="GT3"/>
    <s v="T"/>
    <n v="1"/>
    <n v="1"/>
    <s v="at_home"/>
    <s v="services"/>
    <s v="course"/>
    <s v="mother"/>
    <n v="1"/>
    <n v="3"/>
    <n v="1"/>
    <s v="no"/>
    <s v="no"/>
    <s v="no"/>
    <s v="yes"/>
    <s v="yes"/>
    <s v="no"/>
    <s v="no"/>
    <s v="yes"/>
    <n v="5"/>
    <n v="3"/>
    <n v="1"/>
    <n v="1"/>
    <n v="1"/>
    <n v="3"/>
    <n v="6"/>
    <n v="7"/>
    <n v="9"/>
    <x v="9"/>
    <s v="Fail"/>
    <n v="0"/>
    <n v="60"/>
    <n v="0"/>
    <n v="0"/>
    <n v="0"/>
    <n v="24"/>
    <x v="0"/>
  </r>
  <r>
    <s v="MS"/>
    <s v="M"/>
    <n v="18"/>
    <s v="R"/>
    <s v="GT3"/>
    <s v="T"/>
    <n v="1"/>
    <n v="1"/>
    <s v="other"/>
    <s v="other"/>
    <s v="home"/>
    <s v="mother"/>
    <n v="2"/>
    <n v="1"/>
    <n v="1"/>
    <s v="no"/>
    <s v="no"/>
    <s v="no"/>
    <s v="yes"/>
    <s v="yes"/>
    <s v="no"/>
    <s v="yes"/>
    <s v="no"/>
    <n v="4"/>
    <n v="4"/>
    <n v="3"/>
    <n v="3"/>
    <n v="4"/>
    <n v="4"/>
    <n v="0"/>
    <n v="8"/>
    <n v="9"/>
    <x v="7"/>
    <s v="Pass"/>
    <n v="0"/>
    <n v="60"/>
    <n v="0"/>
    <n v="70"/>
    <n v="0"/>
    <n v="38"/>
    <x v="1"/>
  </r>
  <r>
    <s v="MS"/>
    <s v="F"/>
    <n v="18"/>
    <s v="R"/>
    <s v="GT3"/>
    <s v="T"/>
    <n v="1"/>
    <n v="1"/>
    <s v="at_home"/>
    <s v="at_home"/>
    <s v="course"/>
    <s v="mother"/>
    <n v="2"/>
    <n v="1"/>
    <n v="1"/>
    <s v="no"/>
    <s v="no"/>
    <s v="no"/>
    <s v="no"/>
    <s v="no"/>
    <s v="no"/>
    <s v="yes"/>
    <s v="yes"/>
    <n v="3"/>
    <n v="2"/>
    <n v="3"/>
    <n v="1"/>
    <n v="1"/>
    <n v="2"/>
    <n v="4"/>
    <n v="9"/>
    <n v="11"/>
    <x v="7"/>
    <s v="Pass"/>
    <n v="1"/>
    <n v="60"/>
    <n v="0"/>
    <n v="70"/>
    <n v="50"/>
    <n v="43"/>
    <x v="1"/>
  </r>
  <r>
    <s v="MS"/>
    <s v="F"/>
    <n v="19"/>
    <s v="U"/>
    <s v="GT3"/>
    <s v="T"/>
    <n v="1"/>
    <n v="1"/>
    <s v="other"/>
    <s v="other"/>
    <s v="course"/>
    <s v="other"/>
    <n v="2"/>
    <n v="2"/>
    <n v="1"/>
    <s v="no"/>
    <s v="yes"/>
    <s v="no"/>
    <s v="no"/>
    <s v="yes"/>
    <s v="yes"/>
    <s v="yes"/>
    <s v="yes"/>
    <n v="1"/>
    <n v="1"/>
    <n v="4"/>
    <n v="4"/>
    <n v="1"/>
    <n v="1"/>
    <n v="12"/>
    <n v="7"/>
    <n v="8"/>
    <x v="9"/>
    <s v="Fail"/>
    <n v="0"/>
    <n v="60"/>
    <n v="50"/>
    <n v="40"/>
    <n v="0"/>
    <n v="47"/>
    <x v="1"/>
  </r>
  <r>
    <s v="MS"/>
    <s v="F"/>
    <n v="16"/>
    <s v="R"/>
    <s v="GT3"/>
    <s v="A"/>
    <n v="2"/>
    <n v="2"/>
    <s v="health"/>
    <s v="other"/>
    <s v="course"/>
    <s v="mother"/>
    <n v="1"/>
    <n v="2"/>
    <n v="0"/>
    <s v="no"/>
    <s v="no"/>
    <s v="no"/>
    <s v="no"/>
    <s v="no"/>
    <s v="yes"/>
    <s v="no"/>
    <s v="yes"/>
    <n v="3"/>
    <n v="3"/>
    <n v="2"/>
    <n v="1"/>
    <n v="1"/>
    <n v="3"/>
    <n v="2"/>
    <n v="8"/>
    <n v="10"/>
    <x v="7"/>
    <s v="Pass"/>
    <n v="0"/>
    <n v="0"/>
    <n v="0"/>
    <n v="40"/>
    <n v="0"/>
    <n v="8"/>
    <x v="0"/>
  </r>
  <r>
    <s v="MS"/>
    <s v="F"/>
    <n v="17"/>
    <s v="U"/>
    <s v="GT3"/>
    <s v="T"/>
    <n v="0"/>
    <n v="1"/>
    <s v="other"/>
    <s v="at_home"/>
    <s v="course"/>
    <s v="father"/>
    <n v="2"/>
    <n v="1"/>
    <n v="0"/>
    <s v="no"/>
    <s v="no"/>
    <s v="no"/>
    <s v="yes"/>
    <s v="no"/>
    <s v="yes"/>
    <s v="no"/>
    <s v="no"/>
    <n v="2"/>
    <n v="4"/>
    <n v="4"/>
    <n v="3"/>
    <n v="5"/>
    <n v="5"/>
    <n v="5"/>
    <n v="9"/>
    <n v="9"/>
    <x v="7"/>
    <s v="Pass"/>
    <n v="0"/>
    <n v="0"/>
    <n v="0"/>
    <n v="70"/>
    <n v="0"/>
    <n v="14"/>
    <x v="0"/>
  </r>
  <r>
    <s v="MS"/>
    <s v="F"/>
    <n v="16"/>
    <s v="R"/>
    <s v="LE3"/>
    <s v="T"/>
    <n v="1"/>
    <n v="2"/>
    <s v="at_home"/>
    <s v="other"/>
    <s v="course"/>
    <s v="mother"/>
    <n v="1"/>
    <n v="2"/>
    <n v="0"/>
    <s v="no"/>
    <s v="no"/>
    <s v="no"/>
    <s v="yes"/>
    <s v="yes"/>
    <s v="no"/>
    <s v="yes"/>
    <s v="no"/>
    <n v="4"/>
    <n v="4"/>
    <n v="5"/>
    <n v="1"/>
    <n v="3"/>
    <n v="3"/>
    <n v="0"/>
    <n v="8"/>
    <n v="9"/>
    <x v="9"/>
    <s v="Fail"/>
    <n v="0"/>
    <n v="0"/>
    <n v="0"/>
    <n v="40"/>
    <n v="0"/>
    <n v="8"/>
    <x v="0"/>
  </r>
  <r>
    <s v="MS"/>
    <s v="F"/>
    <n v="16"/>
    <s v="U"/>
    <s v="GT3"/>
    <s v="T"/>
    <n v="3"/>
    <n v="3"/>
    <s v="other"/>
    <s v="other"/>
    <s v="reputation"/>
    <s v="mother"/>
    <n v="1"/>
    <n v="1"/>
    <n v="0"/>
    <s v="no"/>
    <s v="no"/>
    <s v="no"/>
    <s v="yes"/>
    <s v="yes"/>
    <s v="no"/>
    <s v="yes"/>
    <s v="yes"/>
    <n v="4"/>
    <n v="5"/>
    <n v="4"/>
    <n v="1"/>
    <n v="1"/>
    <n v="4"/>
    <n v="0"/>
    <n v="14"/>
    <n v="13"/>
    <x v="3"/>
    <s v="Pass"/>
    <n v="0"/>
    <n v="0"/>
    <n v="0"/>
    <n v="70"/>
    <n v="0"/>
    <n v="14"/>
    <x v="0"/>
  </r>
  <r>
    <s v="MS"/>
    <s v="F"/>
    <n v="16"/>
    <s v="R"/>
    <s v="LE3"/>
    <s v="T"/>
    <n v="1"/>
    <n v="1"/>
    <s v="services"/>
    <s v="services"/>
    <s v="home"/>
    <s v="mother"/>
    <n v="1"/>
    <n v="1"/>
    <n v="0"/>
    <s v="no"/>
    <s v="yes"/>
    <s v="no"/>
    <s v="yes"/>
    <s v="yes"/>
    <s v="yes"/>
    <s v="yes"/>
    <s v="yes"/>
    <n v="4"/>
    <n v="4"/>
    <n v="4"/>
    <n v="2"/>
    <n v="2"/>
    <n v="4"/>
    <n v="2"/>
    <n v="14"/>
    <n v="14"/>
    <x v="2"/>
    <s v="Pass"/>
    <n v="0"/>
    <n v="0"/>
    <n v="0"/>
    <n v="70"/>
    <n v="0"/>
    <n v="14"/>
    <x v="0"/>
  </r>
  <r>
    <s v="MS"/>
    <s v="M"/>
    <n v="17"/>
    <s v="U"/>
    <s v="GT3"/>
    <s v="T"/>
    <n v="3"/>
    <n v="3"/>
    <s v="services"/>
    <s v="at_home"/>
    <s v="course"/>
    <s v="mother"/>
    <n v="2"/>
    <n v="4"/>
    <n v="1"/>
    <s v="no"/>
    <s v="yes"/>
    <s v="yes"/>
    <s v="yes"/>
    <s v="yes"/>
    <s v="yes"/>
    <s v="no"/>
    <s v="no"/>
    <n v="5"/>
    <n v="4"/>
    <n v="5"/>
    <n v="3"/>
    <n v="4"/>
    <n v="5"/>
    <n v="0"/>
    <n v="10"/>
    <n v="11"/>
    <x v="7"/>
    <s v="Pass"/>
    <n v="1"/>
    <n v="60"/>
    <n v="0"/>
    <n v="0"/>
    <n v="50"/>
    <n v="29"/>
    <x v="0"/>
  </r>
  <r>
    <s v="MS"/>
    <s v="F"/>
    <n v="16"/>
    <s v="U"/>
    <s v="GT3"/>
    <s v="T"/>
    <n v="2"/>
    <n v="1"/>
    <s v="other"/>
    <s v="services"/>
    <s v="course"/>
    <s v="mother"/>
    <n v="1"/>
    <n v="2"/>
    <n v="0"/>
    <s v="no"/>
    <s v="yes"/>
    <s v="no"/>
    <s v="yes"/>
    <s v="yes"/>
    <s v="yes"/>
    <s v="yes"/>
    <s v="no"/>
    <n v="5"/>
    <n v="3"/>
    <n v="3"/>
    <n v="1"/>
    <n v="1"/>
    <n v="1"/>
    <n v="0"/>
    <n v="14"/>
    <n v="13"/>
    <x v="2"/>
    <s v="Pass"/>
    <n v="0"/>
    <n v="0"/>
    <n v="0"/>
    <n v="40"/>
    <n v="0"/>
    <n v="8"/>
    <x v="0"/>
  </r>
  <r>
    <s v="MS"/>
    <s v="F"/>
    <n v="16"/>
    <s v="U"/>
    <s v="GT3"/>
    <s v="T"/>
    <n v="2"/>
    <n v="2"/>
    <s v="services"/>
    <s v="other"/>
    <s v="course"/>
    <s v="mother"/>
    <n v="1"/>
    <n v="1"/>
    <n v="0"/>
    <s v="no"/>
    <s v="yes"/>
    <s v="yes"/>
    <s v="yes"/>
    <s v="yes"/>
    <s v="yes"/>
    <s v="no"/>
    <s v="yes"/>
    <n v="4"/>
    <n v="2"/>
    <n v="5"/>
    <n v="1"/>
    <n v="2"/>
    <n v="5"/>
    <n v="0"/>
    <n v="17"/>
    <n v="16"/>
    <x v="8"/>
    <s v="Pass"/>
    <n v="0"/>
    <n v="0"/>
    <n v="0"/>
    <n v="70"/>
    <n v="0"/>
    <n v="14"/>
    <x v="0"/>
  </r>
  <r>
    <s v="MS"/>
    <s v="M"/>
    <n v="17"/>
    <s v="U"/>
    <s v="GT3"/>
    <s v="T"/>
    <n v="1"/>
    <n v="2"/>
    <s v="other"/>
    <s v="other"/>
    <s v="course"/>
    <s v="father"/>
    <n v="1"/>
    <n v="1"/>
    <n v="1"/>
    <s v="no"/>
    <s v="yes"/>
    <s v="no"/>
    <s v="yes"/>
    <s v="yes"/>
    <s v="no"/>
    <s v="yes"/>
    <s v="yes"/>
    <n v="5"/>
    <n v="3"/>
    <n v="5"/>
    <n v="5"/>
    <n v="5"/>
    <n v="1"/>
    <n v="12"/>
    <n v="6"/>
    <n v="7"/>
    <x v="6"/>
    <s v="Fail"/>
    <n v="0"/>
    <n v="60"/>
    <n v="50"/>
    <n v="70"/>
    <n v="0"/>
    <n v="53"/>
    <x v="1"/>
  </r>
  <r>
    <s v="MS"/>
    <s v="M"/>
    <n v="16"/>
    <s v="U"/>
    <s v="LE3"/>
    <s v="T"/>
    <n v="4"/>
    <n v="3"/>
    <s v="other"/>
    <s v="other"/>
    <s v="course"/>
    <s v="father"/>
    <n v="1"/>
    <n v="1"/>
    <n v="0"/>
    <s v="no"/>
    <s v="no"/>
    <s v="no"/>
    <s v="yes"/>
    <s v="yes"/>
    <s v="yes"/>
    <s v="yes"/>
    <s v="no"/>
    <n v="4"/>
    <n v="2"/>
    <n v="5"/>
    <n v="1"/>
    <n v="5"/>
    <n v="5"/>
    <n v="8"/>
    <n v="14"/>
    <n v="12"/>
    <x v="3"/>
    <s v="Pass"/>
    <n v="0"/>
    <n v="0"/>
    <n v="0"/>
    <n v="70"/>
    <n v="0"/>
    <n v="14"/>
    <x v="0"/>
  </r>
  <r>
    <s v="MS"/>
    <s v="M"/>
    <n v="17"/>
    <s v="R"/>
    <s v="LE3"/>
    <s v="T"/>
    <n v="2"/>
    <n v="2"/>
    <s v="services"/>
    <s v="services"/>
    <s v="other"/>
    <s v="mother"/>
    <n v="3"/>
    <n v="4"/>
    <n v="1"/>
    <s v="no"/>
    <s v="yes"/>
    <s v="no"/>
    <s v="no"/>
    <s v="yes"/>
    <s v="yes"/>
    <s v="no"/>
    <s v="no"/>
    <n v="1"/>
    <n v="3"/>
    <n v="5"/>
    <n v="3"/>
    <n v="5"/>
    <n v="3"/>
    <n v="2"/>
    <n v="10"/>
    <n v="8"/>
    <x v="9"/>
    <s v="Fail"/>
    <n v="0"/>
    <n v="60"/>
    <n v="0"/>
    <n v="0"/>
    <n v="0"/>
    <n v="24"/>
    <x v="0"/>
  </r>
  <r>
    <s v="MS"/>
    <s v="F"/>
    <n v="16"/>
    <s v="U"/>
    <s v="GT3"/>
    <s v="T"/>
    <n v="1"/>
    <n v="1"/>
    <s v="other"/>
    <s v="other"/>
    <s v="course"/>
    <s v="other"/>
    <n v="1"/>
    <n v="4"/>
    <n v="0"/>
    <s v="yes"/>
    <s v="yes"/>
    <s v="no"/>
    <s v="yes"/>
    <s v="yes"/>
    <s v="yes"/>
    <s v="yes"/>
    <s v="no"/>
    <n v="2"/>
    <n v="2"/>
    <n v="1"/>
    <n v="1"/>
    <n v="1"/>
    <n v="5"/>
    <n v="0"/>
    <n v="14"/>
    <n v="14"/>
    <x v="2"/>
    <s v="Pass"/>
    <n v="0"/>
    <n v="0"/>
    <n v="0"/>
    <n v="0"/>
    <n v="0"/>
    <n v="0"/>
    <x v="0"/>
  </r>
  <r>
    <s v="MS"/>
    <s v="F"/>
    <n v="19"/>
    <s v="U"/>
    <s v="LE3"/>
    <s v="T"/>
    <n v="2"/>
    <n v="2"/>
    <s v="other"/>
    <s v="other"/>
    <s v="home"/>
    <s v="mother"/>
    <n v="1"/>
    <n v="3"/>
    <n v="0"/>
    <s v="no"/>
    <s v="no"/>
    <s v="no"/>
    <s v="no"/>
    <s v="yes"/>
    <s v="yes"/>
    <s v="yes"/>
    <s v="yes"/>
    <n v="5"/>
    <n v="4"/>
    <n v="5"/>
    <n v="1"/>
    <n v="1"/>
    <n v="1"/>
    <n v="0"/>
    <n v="12"/>
    <n v="13"/>
    <x v="3"/>
    <s v="Pass"/>
    <n v="0"/>
    <n v="0"/>
    <n v="0"/>
    <n v="0"/>
    <n v="0"/>
    <n v="0"/>
    <x v="0"/>
  </r>
  <r>
    <s v="MS"/>
    <s v="F"/>
    <n v="17"/>
    <s v="R"/>
    <s v="GT3"/>
    <s v="T"/>
    <n v="1"/>
    <n v="1"/>
    <s v="at_home"/>
    <s v="other"/>
    <s v="reputation"/>
    <s v="mother"/>
    <n v="2"/>
    <n v="1"/>
    <n v="0"/>
    <s v="no"/>
    <s v="yes"/>
    <s v="no"/>
    <s v="yes"/>
    <s v="no"/>
    <s v="yes"/>
    <s v="yes"/>
    <s v="yes"/>
    <n v="4"/>
    <n v="4"/>
    <n v="5"/>
    <n v="1"/>
    <n v="2"/>
    <n v="5"/>
    <n v="0"/>
    <n v="11"/>
    <n v="11"/>
    <x v="0"/>
    <s v="Pass"/>
    <n v="0"/>
    <n v="0"/>
    <n v="0"/>
    <n v="70"/>
    <n v="0"/>
    <n v="14"/>
    <x v="0"/>
  </r>
  <r>
    <s v="MS"/>
    <s v="F"/>
    <n v="20"/>
    <s v="U"/>
    <s v="GT3"/>
    <s v="T"/>
    <n v="3"/>
    <n v="3"/>
    <s v="at_home"/>
    <s v="services"/>
    <s v="other"/>
    <s v="mother"/>
    <n v="2"/>
    <n v="2"/>
    <n v="1"/>
    <s v="no"/>
    <s v="no"/>
    <s v="no"/>
    <s v="yes"/>
    <s v="yes"/>
    <s v="yes"/>
    <s v="yes"/>
    <s v="yes"/>
    <n v="3"/>
    <n v="3"/>
    <n v="4"/>
    <n v="2"/>
    <n v="4"/>
    <n v="3"/>
    <n v="8"/>
    <n v="11"/>
    <n v="9"/>
    <x v="7"/>
    <s v="Pass"/>
    <n v="0"/>
    <n v="60"/>
    <n v="0"/>
    <n v="40"/>
    <n v="0"/>
    <n v="32"/>
    <x v="1"/>
  </r>
  <r>
    <s v="MS"/>
    <s v="F"/>
    <n v="17"/>
    <s v="U"/>
    <s v="LE3"/>
    <s v="T"/>
    <n v="1"/>
    <n v="1"/>
    <s v="other"/>
    <s v="services"/>
    <s v="course"/>
    <s v="father"/>
    <n v="1"/>
    <n v="3"/>
    <n v="0"/>
    <s v="no"/>
    <s v="yes"/>
    <s v="no"/>
    <s v="no"/>
    <s v="yes"/>
    <s v="yes"/>
    <s v="no"/>
    <s v="yes"/>
    <n v="4"/>
    <n v="3"/>
    <n v="3"/>
    <n v="1"/>
    <n v="1"/>
    <n v="3"/>
    <n v="0"/>
    <n v="11"/>
    <n v="11"/>
    <x v="7"/>
    <s v="Pass"/>
    <n v="1"/>
    <n v="0"/>
    <n v="0"/>
    <n v="0"/>
    <n v="50"/>
    <n v="5"/>
    <x v="0"/>
  </r>
  <r>
    <s v="MS"/>
    <s v="M"/>
    <n v="17"/>
    <s v="R"/>
    <s v="GT3"/>
    <s v="T"/>
    <n v="2"/>
    <n v="2"/>
    <s v="other"/>
    <s v="other"/>
    <s v="course"/>
    <s v="mother"/>
    <n v="3"/>
    <n v="1"/>
    <n v="1"/>
    <s v="no"/>
    <s v="yes"/>
    <s v="no"/>
    <s v="no"/>
    <s v="no"/>
    <s v="yes"/>
    <s v="yes"/>
    <s v="no"/>
    <n v="4"/>
    <n v="4"/>
    <n v="5"/>
    <n v="1"/>
    <n v="2"/>
    <n v="5"/>
    <n v="0"/>
    <n v="10"/>
    <n v="9"/>
    <x v="9"/>
    <s v="Fail"/>
    <n v="0"/>
    <n v="60"/>
    <n v="0"/>
    <n v="70"/>
    <n v="0"/>
    <n v="38"/>
    <x v="1"/>
  </r>
  <r>
    <s v="MS"/>
    <s v="F"/>
    <n v="16"/>
    <s v="R"/>
    <s v="LE3"/>
    <s v="T"/>
    <n v="1"/>
    <n v="1"/>
    <s v="at_home"/>
    <s v="other"/>
    <s v="course"/>
    <s v="father"/>
    <n v="3"/>
    <n v="2"/>
    <n v="0"/>
    <s v="no"/>
    <s v="yes"/>
    <s v="no"/>
    <s v="no"/>
    <s v="yes"/>
    <s v="yes"/>
    <s v="no"/>
    <s v="no"/>
    <n v="5"/>
    <n v="3"/>
    <n v="2"/>
    <n v="1"/>
    <n v="1"/>
    <n v="1"/>
    <n v="0"/>
    <n v="16"/>
    <n v="17"/>
    <x v="11"/>
    <s v="Pass"/>
    <n v="0"/>
    <n v="0"/>
    <n v="0"/>
    <n v="40"/>
    <n v="0"/>
    <n v="8"/>
    <x v="0"/>
  </r>
  <r>
    <s v="MS"/>
    <s v="F"/>
    <n v="17"/>
    <s v="R"/>
    <s v="GT3"/>
    <s v="T"/>
    <n v="2"/>
    <n v="2"/>
    <s v="other"/>
    <s v="other"/>
    <s v="reputation"/>
    <s v="mother"/>
    <n v="2"/>
    <n v="2"/>
    <n v="0"/>
    <s v="no"/>
    <s v="yes"/>
    <s v="no"/>
    <s v="yes"/>
    <s v="yes"/>
    <s v="yes"/>
    <s v="no"/>
    <s v="no"/>
    <n v="5"/>
    <n v="3"/>
    <n v="2"/>
    <n v="1"/>
    <n v="1"/>
    <n v="1"/>
    <n v="0"/>
    <n v="15"/>
    <n v="17"/>
    <x v="4"/>
    <s v="Pass"/>
    <n v="0"/>
    <n v="0"/>
    <n v="0"/>
    <n v="40"/>
    <n v="0"/>
    <n v="8"/>
    <x v="0"/>
  </r>
  <r>
    <s v="MS"/>
    <s v="F"/>
    <n v="17"/>
    <s v="U"/>
    <s v="GT3"/>
    <s v="A"/>
    <n v="1"/>
    <n v="0"/>
    <s v="other"/>
    <s v="other"/>
    <s v="other"/>
    <s v="mother"/>
    <n v="2"/>
    <n v="2"/>
    <n v="0"/>
    <s v="no"/>
    <s v="no"/>
    <s v="no"/>
    <s v="no"/>
    <s v="yes"/>
    <s v="yes"/>
    <s v="yes"/>
    <s v="yes"/>
    <n v="4"/>
    <n v="4"/>
    <n v="5"/>
    <n v="1"/>
    <n v="1"/>
    <n v="4"/>
    <n v="1"/>
    <n v="11"/>
    <n v="9"/>
    <x v="7"/>
    <s v="Pass"/>
    <n v="0"/>
    <n v="0"/>
    <n v="0"/>
    <n v="40"/>
    <n v="0"/>
    <n v="8"/>
    <x v="0"/>
  </r>
  <r>
    <s v="MS"/>
    <s v="F"/>
    <n v="18"/>
    <s v="R"/>
    <s v="GT3"/>
    <s v="T"/>
    <n v="1"/>
    <n v="1"/>
    <s v="at_home"/>
    <s v="other"/>
    <s v="other"/>
    <s v="mother"/>
    <n v="1"/>
    <n v="2"/>
    <n v="1"/>
    <s v="no"/>
    <s v="yes"/>
    <s v="no"/>
    <s v="no"/>
    <s v="yes"/>
    <s v="yes"/>
    <s v="yes"/>
    <s v="yes"/>
    <n v="4"/>
    <n v="3"/>
    <n v="2"/>
    <n v="1"/>
    <n v="1"/>
    <n v="5"/>
    <n v="9"/>
    <n v="7"/>
    <n v="7"/>
    <x v="6"/>
    <s v="Fail"/>
    <n v="0"/>
    <n v="60"/>
    <n v="0"/>
    <n v="40"/>
    <n v="0"/>
    <n v="32"/>
    <x v="1"/>
  </r>
  <r>
    <s v="MS"/>
    <s v="F"/>
    <n v="16"/>
    <s v="U"/>
    <s v="GT3"/>
    <s v="T"/>
    <n v="3"/>
    <n v="1"/>
    <s v="other"/>
    <s v="other"/>
    <s v="course"/>
    <s v="mother"/>
    <n v="1"/>
    <n v="1"/>
    <n v="0"/>
    <s v="no"/>
    <s v="no"/>
    <s v="no"/>
    <s v="yes"/>
    <s v="yes"/>
    <s v="yes"/>
    <s v="yes"/>
    <s v="no"/>
    <n v="3"/>
    <n v="1"/>
    <n v="3"/>
    <n v="1"/>
    <n v="3"/>
    <n v="1"/>
    <n v="0"/>
    <n v="8"/>
    <n v="6"/>
    <x v="10"/>
    <s v="Fail"/>
    <n v="0"/>
    <n v="0"/>
    <n v="0"/>
    <n v="70"/>
    <n v="0"/>
    <n v="14"/>
    <x v="0"/>
  </r>
  <r>
    <s v="MS"/>
    <s v="F"/>
    <n v="16"/>
    <s v="U"/>
    <s v="GT3"/>
    <s v="T"/>
    <n v="3"/>
    <n v="2"/>
    <s v="services"/>
    <s v="at_home"/>
    <s v="course"/>
    <s v="mother"/>
    <n v="1"/>
    <n v="1"/>
    <n v="0"/>
    <s v="no"/>
    <s v="no"/>
    <s v="no"/>
    <s v="no"/>
    <s v="yes"/>
    <s v="yes"/>
    <s v="yes"/>
    <s v="no"/>
    <n v="3"/>
    <n v="1"/>
    <n v="3"/>
    <n v="1"/>
    <n v="4"/>
    <n v="3"/>
    <n v="2"/>
    <n v="7"/>
    <n v="6"/>
    <x v="6"/>
    <s v="Fail"/>
    <n v="0"/>
    <n v="0"/>
    <n v="0"/>
    <n v="70"/>
    <n v="0"/>
    <n v="14"/>
    <x v="0"/>
  </r>
  <r>
    <s v="MS"/>
    <s v="F"/>
    <n v="18"/>
    <s v="U"/>
    <s v="LE3"/>
    <s v="T"/>
    <n v="1"/>
    <n v="1"/>
    <s v="other"/>
    <s v="at_home"/>
    <s v="reputation"/>
    <s v="mother"/>
    <n v="2"/>
    <n v="2"/>
    <n v="0"/>
    <s v="yes"/>
    <s v="no"/>
    <s v="no"/>
    <s v="no"/>
    <s v="yes"/>
    <s v="yes"/>
    <s v="no"/>
    <s v="no"/>
    <n v="2"/>
    <n v="3"/>
    <n v="5"/>
    <n v="1"/>
    <n v="4"/>
    <n v="3"/>
    <n v="8"/>
    <n v="9"/>
    <n v="8"/>
    <x v="7"/>
    <s v="Pass"/>
    <n v="0"/>
    <n v="0"/>
    <n v="0"/>
    <n v="40"/>
    <n v="0"/>
    <n v="8"/>
    <x v="0"/>
  </r>
  <r>
    <s v="MS"/>
    <s v="F"/>
    <n v="16"/>
    <s v="R"/>
    <s v="GT3"/>
    <s v="T"/>
    <n v="4"/>
    <n v="4"/>
    <s v="health"/>
    <s v="teacher"/>
    <s v="reputation"/>
    <s v="father"/>
    <n v="1"/>
    <n v="2"/>
    <n v="0"/>
    <s v="no"/>
    <s v="no"/>
    <s v="no"/>
    <s v="yes"/>
    <s v="no"/>
    <s v="yes"/>
    <s v="yes"/>
    <s v="yes"/>
    <n v="4"/>
    <n v="3"/>
    <n v="3"/>
    <n v="2"/>
    <n v="3"/>
    <n v="2"/>
    <n v="0"/>
    <n v="14"/>
    <n v="16"/>
    <x v="8"/>
    <s v="Pass"/>
    <n v="0"/>
    <n v="0"/>
    <n v="0"/>
    <n v="40"/>
    <n v="0"/>
    <n v="8"/>
    <x v="0"/>
  </r>
  <r>
    <s v="MS"/>
    <s v="F"/>
    <n v="16"/>
    <s v="R"/>
    <s v="LE3"/>
    <s v="T"/>
    <n v="1"/>
    <n v="2"/>
    <s v="other"/>
    <s v="other"/>
    <s v="reputation"/>
    <s v="mother"/>
    <n v="2"/>
    <n v="1"/>
    <n v="0"/>
    <s v="no"/>
    <s v="no"/>
    <s v="no"/>
    <s v="yes"/>
    <s v="yes"/>
    <s v="yes"/>
    <s v="yes"/>
    <s v="no"/>
    <n v="5"/>
    <n v="4"/>
    <n v="5"/>
    <n v="1"/>
    <n v="4"/>
    <n v="2"/>
    <n v="0"/>
    <n v="14"/>
    <n v="14"/>
    <x v="5"/>
    <s v="Pass"/>
    <n v="0"/>
    <n v="0"/>
    <n v="0"/>
    <n v="70"/>
    <n v="0"/>
    <n v="14"/>
    <x v="0"/>
  </r>
  <r>
    <s v="MS"/>
    <s v="F"/>
    <n v="18"/>
    <s v="U"/>
    <s v="GT3"/>
    <s v="A"/>
    <n v="2"/>
    <n v="4"/>
    <s v="other"/>
    <s v="services"/>
    <s v="reputation"/>
    <s v="father"/>
    <n v="1"/>
    <n v="2"/>
    <n v="1"/>
    <s v="no"/>
    <s v="yes"/>
    <s v="no"/>
    <s v="no"/>
    <s v="yes"/>
    <s v="yes"/>
    <s v="yes"/>
    <s v="no"/>
    <n v="2"/>
    <n v="3"/>
    <n v="2"/>
    <n v="1"/>
    <n v="3"/>
    <n v="1"/>
    <n v="8"/>
    <n v="8"/>
    <n v="5"/>
    <x v="10"/>
    <s v="Fail"/>
    <n v="0"/>
    <n v="60"/>
    <n v="0"/>
    <n v="40"/>
    <n v="0"/>
    <n v="32"/>
    <x v="1"/>
  </r>
  <r>
    <s v="MS"/>
    <s v="M"/>
    <n v="16"/>
    <s v="R"/>
    <s v="GT3"/>
    <s v="T"/>
    <n v="2"/>
    <n v="1"/>
    <s v="other"/>
    <s v="services"/>
    <s v="reputation"/>
    <s v="mother"/>
    <n v="2"/>
    <n v="2"/>
    <n v="0"/>
    <s v="no"/>
    <s v="no"/>
    <s v="no"/>
    <s v="yes"/>
    <s v="yes"/>
    <s v="yes"/>
    <s v="yes"/>
    <s v="no"/>
    <n v="5"/>
    <n v="2"/>
    <n v="1"/>
    <n v="1"/>
    <n v="1"/>
    <n v="2"/>
    <n v="0"/>
    <n v="8"/>
    <n v="7"/>
    <x v="13"/>
    <s v="Fail"/>
    <n v="1"/>
    <n v="0"/>
    <n v="0"/>
    <n v="40"/>
    <n v="50"/>
    <n v="13"/>
    <x v="0"/>
  </r>
  <r>
    <s v="MS"/>
    <s v="F"/>
    <n v="16"/>
    <s v="U"/>
    <s v="LE3"/>
    <s v="T"/>
    <n v="1"/>
    <n v="1"/>
    <s v="at_home"/>
    <s v="other"/>
    <s v="other"/>
    <s v="mother"/>
    <n v="3"/>
    <n v="2"/>
    <n v="0"/>
    <s v="no"/>
    <s v="yes"/>
    <s v="no"/>
    <s v="no"/>
    <s v="yes"/>
    <s v="yes"/>
    <s v="yes"/>
    <s v="no"/>
    <n v="4"/>
    <n v="3"/>
    <n v="2"/>
    <n v="1"/>
    <n v="3"/>
    <n v="5"/>
    <n v="6"/>
    <n v="6"/>
    <n v="8"/>
    <x v="10"/>
    <s v="Fail"/>
    <n v="0"/>
    <n v="0"/>
    <n v="0"/>
    <n v="40"/>
    <n v="0"/>
    <n v="8"/>
    <x v="0"/>
  </r>
  <r>
    <s v="MS"/>
    <s v="F"/>
    <n v="16"/>
    <s v="R"/>
    <s v="GT3"/>
    <s v="T"/>
    <n v="2"/>
    <n v="3"/>
    <s v="at_home"/>
    <s v="services"/>
    <s v="other"/>
    <s v="mother"/>
    <n v="2"/>
    <n v="2"/>
    <n v="0"/>
    <s v="no"/>
    <s v="yes"/>
    <s v="no"/>
    <s v="yes"/>
    <s v="yes"/>
    <s v="yes"/>
    <s v="yes"/>
    <s v="no"/>
    <n v="3"/>
    <n v="3"/>
    <n v="3"/>
    <n v="1"/>
    <n v="1"/>
    <n v="2"/>
    <n v="0"/>
    <n v="8"/>
    <n v="10"/>
    <x v="7"/>
    <s v="Pass"/>
    <n v="0"/>
    <n v="0"/>
    <n v="0"/>
    <n v="40"/>
    <n v="0"/>
    <n v="8"/>
    <x v="0"/>
  </r>
  <r>
    <s v="MS"/>
    <s v="F"/>
    <n v="16"/>
    <s v="U"/>
    <s v="GT3"/>
    <s v="T"/>
    <n v="4"/>
    <n v="4"/>
    <s v="health"/>
    <s v="health"/>
    <s v="course"/>
    <s v="mother"/>
    <n v="1"/>
    <n v="2"/>
    <n v="0"/>
    <s v="no"/>
    <s v="yes"/>
    <s v="no"/>
    <s v="no"/>
    <s v="yes"/>
    <s v="yes"/>
    <s v="yes"/>
    <s v="yes"/>
    <n v="4"/>
    <n v="3"/>
    <n v="4"/>
    <n v="1"/>
    <n v="2"/>
    <n v="3"/>
    <n v="4"/>
    <n v="8"/>
    <n v="8"/>
    <x v="10"/>
    <s v="Fail"/>
    <n v="0"/>
    <n v="0"/>
    <n v="0"/>
    <n v="40"/>
    <n v="0"/>
    <n v="8"/>
    <x v="0"/>
  </r>
  <r>
    <s v="MS"/>
    <s v="M"/>
    <n v="18"/>
    <s v="U"/>
    <s v="LE3"/>
    <s v="T"/>
    <n v="4"/>
    <n v="4"/>
    <s v="at_home"/>
    <s v="health"/>
    <s v="home"/>
    <s v="mother"/>
    <n v="1"/>
    <n v="4"/>
    <n v="0"/>
    <s v="no"/>
    <s v="yes"/>
    <s v="no"/>
    <s v="yes"/>
    <s v="yes"/>
    <s v="no"/>
    <s v="yes"/>
    <s v="yes"/>
    <n v="5"/>
    <n v="5"/>
    <n v="5"/>
    <n v="5"/>
    <n v="5"/>
    <n v="5"/>
    <n v="2"/>
    <n v="5"/>
    <n v="6"/>
    <x v="12"/>
    <s v="Fail"/>
    <n v="0"/>
    <n v="0"/>
    <n v="0"/>
    <n v="0"/>
    <n v="0"/>
    <n v="0"/>
    <x v="0"/>
  </r>
  <r>
    <s v="MS"/>
    <s v="F"/>
    <n v="16"/>
    <s v="R"/>
    <s v="LE3"/>
    <s v="T"/>
    <n v="3"/>
    <n v="4"/>
    <s v="at_home"/>
    <s v="other"/>
    <s v="other"/>
    <s v="mother"/>
    <n v="3"/>
    <n v="2"/>
    <n v="0"/>
    <s v="no"/>
    <s v="yes"/>
    <s v="no"/>
    <s v="no"/>
    <s v="no"/>
    <s v="yes"/>
    <s v="no"/>
    <s v="no"/>
    <n v="4"/>
    <n v="2"/>
    <n v="1"/>
    <n v="1"/>
    <n v="1"/>
    <n v="2"/>
    <n v="2"/>
    <n v="7"/>
    <n v="9"/>
    <x v="10"/>
    <s v="Fail"/>
    <n v="1"/>
    <n v="0"/>
    <n v="0"/>
    <n v="40"/>
    <n v="50"/>
    <n v="13"/>
    <x v="0"/>
  </r>
  <r>
    <s v="MS"/>
    <s v="M"/>
    <n v="17"/>
    <s v="U"/>
    <s v="LE3"/>
    <s v="T"/>
    <n v="4"/>
    <n v="4"/>
    <s v="other"/>
    <s v="services"/>
    <s v="home"/>
    <s v="mother"/>
    <n v="1"/>
    <n v="3"/>
    <n v="0"/>
    <s v="no"/>
    <s v="yes"/>
    <s v="no"/>
    <s v="no"/>
    <s v="yes"/>
    <s v="yes"/>
    <s v="yes"/>
    <s v="no"/>
    <n v="4"/>
    <n v="4"/>
    <n v="3"/>
    <n v="1"/>
    <n v="2"/>
    <n v="5"/>
    <n v="0"/>
    <n v="15"/>
    <n v="14"/>
    <x v="8"/>
    <s v="Pass"/>
    <n v="0"/>
    <n v="0"/>
    <n v="0"/>
    <n v="0"/>
    <n v="0"/>
    <n v="0"/>
    <x v="0"/>
  </r>
  <r>
    <s v="MS"/>
    <s v="F"/>
    <n v="17"/>
    <s v="R"/>
    <s v="GT3"/>
    <s v="T"/>
    <n v="4"/>
    <n v="1"/>
    <s v="other"/>
    <s v="other"/>
    <s v="other"/>
    <s v="mother"/>
    <n v="1"/>
    <n v="1"/>
    <n v="0"/>
    <s v="no"/>
    <s v="no"/>
    <s v="no"/>
    <s v="no"/>
    <s v="yes"/>
    <s v="yes"/>
    <s v="yes"/>
    <s v="yes"/>
    <n v="4"/>
    <n v="2"/>
    <n v="3"/>
    <n v="1"/>
    <n v="2"/>
    <n v="5"/>
    <n v="1"/>
    <n v="13"/>
    <n v="14"/>
    <x v="2"/>
    <s v="Pass"/>
    <n v="0"/>
    <n v="0"/>
    <n v="0"/>
    <n v="70"/>
    <n v="0"/>
    <n v="14"/>
    <x v="0"/>
  </r>
  <r>
    <s v="MS"/>
    <s v="M"/>
    <n v="16"/>
    <s v="U"/>
    <s v="LE3"/>
    <s v="T"/>
    <n v="2"/>
    <n v="2"/>
    <s v="services"/>
    <s v="services"/>
    <s v="other"/>
    <s v="mother"/>
    <n v="4"/>
    <n v="3"/>
    <n v="0"/>
    <s v="no"/>
    <s v="no"/>
    <s v="no"/>
    <s v="no"/>
    <s v="yes"/>
    <s v="yes"/>
    <s v="no"/>
    <s v="no"/>
    <n v="5"/>
    <n v="1"/>
    <n v="3"/>
    <n v="2"/>
    <n v="2"/>
    <n v="3"/>
    <n v="0"/>
    <n v="10"/>
    <n v="9"/>
    <x v="7"/>
    <s v="Pass"/>
    <n v="0"/>
    <n v="0"/>
    <n v="0"/>
    <n v="0"/>
    <n v="0"/>
    <n v="0"/>
    <x v="0"/>
  </r>
  <r>
    <s v="MS"/>
    <s v="F"/>
    <n v="17"/>
    <s v="R"/>
    <s v="GT3"/>
    <s v="T"/>
    <n v="2"/>
    <n v="2"/>
    <s v="at_home"/>
    <s v="other"/>
    <s v="other"/>
    <s v="mother"/>
    <n v="1"/>
    <n v="1"/>
    <n v="0"/>
    <s v="no"/>
    <s v="yes"/>
    <s v="yes"/>
    <s v="no"/>
    <s v="yes"/>
    <s v="yes"/>
    <s v="yes"/>
    <s v="no"/>
    <n v="5"/>
    <n v="1"/>
    <n v="3"/>
    <n v="1"/>
    <n v="2"/>
    <n v="5"/>
    <n v="5"/>
    <n v="9"/>
    <n v="9"/>
    <x v="9"/>
    <s v="Fail"/>
    <n v="0"/>
    <n v="0"/>
    <n v="0"/>
    <n v="70"/>
    <n v="0"/>
    <n v="14"/>
    <x v="0"/>
  </r>
  <r>
    <s v="MS"/>
    <s v="F"/>
    <n v="16"/>
    <s v="U"/>
    <s v="LE3"/>
    <s v="T"/>
    <n v="4"/>
    <n v="4"/>
    <s v="services"/>
    <s v="services"/>
    <s v="other"/>
    <s v="father"/>
    <n v="2"/>
    <n v="1"/>
    <n v="0"/>
    <s v="no"/>
    <s v="yes"/>
    <s v="no"/>
    <s v="no"/>
    <s v="yes"/>
    <s v="yes"/>
    <s v="no"/>
    <s v="no"/>
    <n v="5"/>
    <n v="1"/>
    <n v="3"/>
    <n v="1"/>
    <n v="2"/>
    <n v="5"/>
    <n v="1"/>
    <n v="11"/>
    <n v="11"/>
    <x v="0"/>
    <s v="Pass"/>
    <n v="0"/>
    <n v="0"/>
    <n v="0"/>
    <n v="70"/>
    <n v="0"/>
    <n v="14"/>
    <x v="0"/>
  </r>
  <r>
    <s v="MS"/>
    <s v="M"/>
    <n v="17"/>
    <s v="U"/>
    <s v="GT3"/>
    <s v="T"/>
    <n v="3"/>
    <n v="3"/>
    <s v="services"/>
    <s v="services"/>
    <s v="home"/>
    <s v="mother"/>
    <n v="1"/>
    <n v="1"/>
    <n v="0"/>
    <s v="no"/>
    <s v="yes"/>
    <s v="no"/>
    <s v="yes"/>
    <s v="yes"/>
    <s v="yes"/>
    <s v="yes"/>
    <s v="no"/>
    <n v="4"/>
    <n v="1"/>
    <n v="4"/>
    <n v="5"/>
    <n v="5"/>
    <n v="3"/>
    <n v="8"/>
    <n v="7"/>
    <n v="10"/>
    <x v="9"/>
    <s v="Fail"/>
    <n v="1"/>
    <n v="0"/>
    <n v="0"/>
    <n v="70"/>
    <n v="50"/>
    <n v="19"/>
    <x v="0"/>
  </r>
  <r>
    <s v="MS"/>
    <s v="M"/>
    <n v="17"/>
    <s v="U"/>
    <s v="GT3"/>
    <s v="T"/>
    <n v="1"/>
    <n v="1"/>
    <s v="at_home"/>
    <s v="services"/>
    <s v="other"/>
    <s v="mother"/>
    <n v="3"/>
    <n v="2"/>
    <n v="0"/>
    <s v="no"/>
    <s v="no"/>
    <s v="no"/>
    <s v="no"/>
    <s v="yes"/>
    <s v="yes"/>
    <s v="yes"/>
    <s v="yes"/>
    <n v="5"/>
    <n v="1"/>
    <n v="3"/>
    <n v="3"/>
    <n v="3"/>
    <n v="1"/>
    <n v="0"/>
    <n v="10"/>
    <n v="10"/>
    <x v="7"/>
    <s v="Pass"/>
    <n v="0"/>
    <n v="0"/>
    <n v="0"/>
    <n v="40"/>
    <n v="0"/>
    <n v="8"/>
    <x v="0"/>
  </r>
  <r>
    <s v="MS"/>
    <s v="M"/>
    <n v="16"/>
    <s v="U"/>
    <s v="GT3"/>
    <s v="T"/>
    <n v="2"/>
    <n v="1"/>
    <s v="health"/>
    <s v="services"/>
    <s v="other"/>
    <s v="mother"/>
    <n v="2"/>
    <n v="2"/>
    <n v="0"/>
    <s v="no"/>
    <s v="no"/>
    <s v="no"/>
    <s v="no"/>
    <s v="no"/>
    <s v="yes"/>
    <s v="yes"/>
    <s v="yes"/>
    <n v="4"/>
    <n v="2"/>
    <n v="2"/>
    <n v="1"/>
    <n v="4"/>
    <n v="5"/>
    <n v="2"/>
    <n v="9"/>
    <n v="7"/>
    <x v="10"/>
    <s v="Fail"/>
    <n v="0"/>
    <n v="0"/>
    <n v="0"/>
    <n v="40"/>
    <n v="0"/>
    <n v="8"/>
    <x v="0"/>
  </r>
  <r>
    <s v="MS"/>
    <s v="F"/>
    <n v="16"/>
    <s v="U"/>
    <s v="LE3"/>
    <s v="T"/>
    <n v="2"/>
    <n v="1"/>
    <s v="other"/>
    <s v="services"/>
    <s v="other"/>
    <s v="mother"/>
    <n v="1"/>
    <n v="2"/>
    <n v="0"/>
    <s v="no"/>
    <s v="no"/>
    <s v="no"/>
    <s v="no"/>
    <s v="yes"/>
    <s v="yes"/>
    <s v="yes"/>
    <s v="yes"/>
    <n v="3"/>
    <n v="2"/>
    <n v="2"/>
    <n v="1"/>
    <n v="1"/>
    <n v="3"/>
    <n v="0"/>
    <n v="14"/>
    <n v="15"/>
    <x v="8"/>
    <s v="Pass"/>
    <n v="0"/>
    <n v="0"/>
    <n v="0"/>
    <n v="40"/>
    <n v="0"/>
    <n v="8"/>
    <x v="0"/>
  </r>
  <r>
    <s v="MS"/>
    <s v="M"/>
    <n v="16"/>
    <s v="U"/>
    <s v="LE3"/>
    <s v="T"/>
    <n v="4"/>
    <n v="4"/>
    <s v="teacher"/>
    <s v="health"/>
    <s v="other"/>
    <s v="father"/>
    <n v="1"/>
    <n v="1"/>
    <n v="0"/>
    <s v="no"/>
    <s v="yes"/>
    <s v="no"/>
    <s v="no"/>
    <s v="yes"/>
    <s v="yes"/>
    <s v="yes"/>
    <s v="no"/>
    <n v="4"/>
    <n v="1"/>
    <n v="2"/>
    <n v="2"/>
    <n v="5"/>
    <n v="5"/>
    <n v="0"/>
    <n v="11"/>
    <n v="12"/>
    <x v="1"/>
    <s v="Pass"/>
    <n v="0"/>
    <n v="0"/>
    <n v="0"/>
    <n v="70"/>
    <n v="0"/>
    <n v="14"/>
    <x v="0"/>
  </r>
  <r>
    <s v="MS"/>
    <s v="M"/>
    <n v="15"/>
    <s v="R"/>
    <s v="GT3"/>
    <s v="T"/>
    <n v="1"/>
    <n v="2"/>
    <s v="other"/>
    <s v="services"/>
    <s v="course"/>
    <s v="mother"/>
    <n v="3"/>
    <n v="2"/>
    <n v="0"/>
    <s v="no"/>
    <s v="yes"/>
    <s v="no"/>
    <s v="yes"/>
    <s v="yes"/>
    <s v="yes"/>
    <s v="no"/>
    <s v="no"/>
    <n v="5"/>
    <n v="5"/>
    <n v="5"/>
    <n v="1"/>
    <n v="3"/>
    <n v="5"/>
    <n v="11"/>
    <n v="9"/>
    <n v="11"/>
    <x v="7"/>
    <s v="Pass"/>
    <n v="1"/>
    <n v="0"/>
    <n v="50"/>
    <n v="40"/>
    <n v="50"/>
    <n v="28"/>
    <x v="0"/>
  </r>
  <r>
    <s v="MS"/>
    <s v="M"/>
    <n v="15"/>
    <s v="U"/>
    <s v="LE3"/>
    <s v="A"/>
    <n v="2"/>
    <n v="2"/>
    <s v="other"/>
    <s v="other"/>
    <s v="reputation"/>
    <s v="mother"/>
    <n v="3"/>
    <n v="4"/>
    <n v="0"/>
    <s v="no"/>
    <s v="yes"/>
    <s v="no"/>
    <s v="yes"/>
    <s v="yes"/>
    <s v="yes"/>
    <s v="no"/>
    <s v="no"/>
    <n v="5"/>
    <n v="4"/>
    <n v="5"/>
    <n v="2"/>
    <n v="3"/>
    <n v="5"/>
    <n v="8"/>
    <n v="13"/>
    <n v="14"/>
    <x v="2"/>
    <s v="Pass"/>
    <n v="0"/>
    <n v="0"/>
    <n v="0"/>
    <n v="0"/>
    <n v="0"/>
    <n v="0"/>
    <x v="0"/>
  </r>
  <r>
    <s v="MS"/>
    <s v="M"/>
    <n v="15"/>
    <s v="U"/>
    <s v="LE3"/>
    <s v="A"/>
    <n v="2"/>
    <n v="1"/>
    <s v="services"/>
    <s v="services"/>
    <s v="course"/>
    <s v="mother"/>
    <n v="1"/>
    <n v="1"/>
    <n v="0"/>
    <s v="no"/>
    <s v="no"/>
    <s v="no"/>
    <s v="yes"/>
    <s v="yes"/>
    <s v="yes"/>
    <s v="yes"/>
    <s v="no"/>
    <n v="4"/>
    <n v="3"/>
    <n v="3"/>
    <n v="1"/>
    <n v="2"/>
    <n v="5"/>
    <n v="11"/>
    <n v="12"/>
    <n v="13"/>
    <x v="1"/>
    <s v="Pass"/>
    <n v="1"/>
    <n v="0"/>
    <n v="50"/>
    <n v="70"/>
    <n v="50"/>
    <n v="34"/>
    <x v="1"/>
  </r>
  <r>
    <s v="MS"/>
    <s v="F"/>
    <n v="16"/>
    <s v="R"/>
    <s v="LE3"/>
    <s v="T"/>
    <n v="2"/>
    <n v="2"/>
    <s v="other"/>
    <s v="other"/>
    <s v="course"/>
    <s v="mother"/>
    <n v="1"/>
    <n v="3"/>
    <n v="0"/>
    <s v="no"/>
    <s v="yes"/>
    <s v="no"/>
    <s v="no"/>
    <s v="no"/>
    <s v="yes"/>
    <s v="no"/>
    <s v="yes"/>
    <n v="4"/>
    <n v="3"/>
    <n v="3"/>
    <n v="2"/>
    <n v="2"/>
    <n v="5"/>
    <n v="2"/>
    <n v="11"/>
    <n v="11"/>
    <x v="0"/>
    <s v="Pass"/>
    <n v="0"/>
    <n v="0"/>
    <n v="0"/>
    <n v="0"/>
    <n v="0"/>
    <n v="0"/>
    <x v="0"/>
  </r>
  <r>
    <s v="MS"/>
    <s v="F"/>
    <n v="16"/>
    <s v="U"/>
    <s v="LE3"/>
    <s v="T"/>
    <n v="4"/>
    <n v="1"/>
    <s v="other"/>
    <s v="other"/>
    <s v="home"/>
    <s v="mother"/>
    <n v="2"/>
    <n v="2"/>
    <n v="0"/>
    <s v="no"/>
    <s v="yes"/>
    <s v="no"/>
    <s v="yes"/>
    <s v="yes"/>
    <s v="yes"/>
    <s v="yes"/>
    <s v="no"/>
    <n v="1"/>
    <n v="2"/>
    <n v="4"/>
    <n v="2"/>
    <n v="2"/>
    <n v="1"/>
    <n v="8"/>
    <n v="9"/>
    <n v="10"/>
    <x v="7"/>
    <s v="Pass"/>
    <n v="0"/>
    <n v="0"/>
    <n v="0"/>
    <n v="40"/>
    <n v="0"/>
    <n v="8"/>
    <x v="0"/>
  </r>
  <r>
    <s v="MS"/>
    <s v="F"/>
    <n v="17"/>
    <s v="U"/>
    <s v="GT3"/>
    <s v="T"/>
    <n v="3"/>
    <n v="2"/>
    <s v="at_home"/>
    <s v="other"/>
    <s v="home"/>
    <s v="mother"/>
    <n v="2"/>
    <n v="1"/>
    <n v="0"/>
    <s v="no"/>
    <s v="no"/>
    <s v="no"/>
    <s v="no"/>
    <s v="yes"/>
    <s v="yes"/>
    <s v="no"/>
    <s v="yes"/>
    <n v="4"/>
    <n v="3"/>
    <n v="3"/>
    <n v="2"/>
    <n v="2"/>
    <n v="1"/>
    <n v="5"/>
    <n v="9"/>
    <n v="11"/>
    <x v="0"/>
    <s v="Pass"/>
    <n v="0"/>
    <n v="0"/>
    <n v="0"/>
    <n v="70"/>
    <n v="0"/>
    <n v="14"/>
    <x v="0"/>
  </r>
  <r>
    <s v="MS"/>
    <s v="F"/>
    <n v="17"/>
    <s v="R"/>
    <s v="GT3"/>
    <s v="T"/>
    <n v="2"/>
    <n v="2"/>
    <s v="other"/>
    <s v="other"/>
    <s v="other"/>
    <s v="mother"/>
    <n v="2"/>
    <n v="2"/>
    <n v="0"/>
    <s v="yes"/>
    <s v="no"/>
    <s v="yes"/>
    <s v="no"/>
    <s v="yes"/>
    <s v="yes"/>
    <s v="no"/>
    <s v="no"/>
    <n v="5"/>
    <n v="1"/>
    <n v="3"/>
    <n v="1"/>
    <n v="1"/>
    <n v="5"/>
    <n v="0"/>
    <n v="11"/>
    <n v="9"/>
    <x v="0"/>
    <s v="Pass"/>
    <n v="0"/>
    <n v="0"/>
    <n v="0"/>
    <n v="40"/>
    <n v="0"/>
    <n v="8"/>
    <x v="0"/>
  </r>
  <r>
    <s v="MS"/>
    <s v="F"/>
    <n v="16"/>
    <s v="U"/>
    <s v="GT3"/>
    <s v="T"/>
    <n v="4"/>
    <n v="4"/>
    <s v="teacher"/>
    <s v="services"/>
    <s v="course"/>
    <s v="mother"/>
    <n v="2"/>
    <n v="3"/>
    <n v="0"/>
    <s v="no"/>
    <s v="yes"/>
    <s v="no"/>
    <s v="no"/>
    <s v="yes"/>
    <s v="yes"/>
    <s v="yes"/>
    <s v="yes"/>
    <n v="5"/>
    <n v="3"/>
    <n v="5"/>
    <n v="1"/>
    <n v="4"/>
    <n v="5"/>
    <n v="1"/>
    <n v="10"/>
    <n v="11"/>
    <x v="1"/>
    <s v="Pass"/>
    <n v="0"/>
    <n v="0"/>
    <n v="0"/>
    <n v="0"/>
    <n v="0"/>
    <n v="0"/>
    <x v="0"/>
  </r>
  <r>
    <s v="MS"/>
    <s v="M"/>
    <n v="17"/>
    <s v="R"/>
    <s v="GT3"/>
    <s v="T"/>
    <n v="4"/>
    <n v="4"/>
    <s v="health"/>
    <s v="other"/>
    <s v="course"/>
    <s v="father"/>
    <n v="3"/>
    <n v="1"/>
    <n v="3"/>
    <s v="no"/>
    <s v="no"/>
    <s v="no"/>
    <s v="yes"/>
    <s v="yes"/>
    <s v="yes"/>
    <s v="yes"/>
    <s v="yes"/>
    <n v="3"/>
    <n v="3"/>
    <n v="3"/>
    <n v="1"/>
    <n v="3"/>
    <n v="5"/>
    <n v="2"/>
    <n v="9"/>
    <n v="9"/>
    <x v="10"/>
    <s v="Fail"/>
    <n v="1"/>
    <n v="100"/>
    <n v="0"/>
    <n v="70"/>
    <n v="50"/>
    <n v="59"/>
    <x v="1"/>
  </r>
  <r>
    <s v="MS"/>
    <s v="M"/>
    <n v="17"/>
    <s v="R"/>
    <s v="LE3"/>
    <s v="T"/>
    <n v="1"/>
    <n v="3"/>
    <s v="other"/>
    <s v="other"/>
    <s v="course"/>
    <s v="father"/>
    <n v="2"/>
    <n v="1"/>
    <n v="0"/>
    <s v="no"/>
    <s v="no"/>
    <s v="no"/>
    <s v="yes"/>
    <s v="yes"/>
    <s v="yes"/>
    <s v="no"/>
    <s v="yes"/>
    <n v="5"/>
    <n v="1"/>
    <n v="2"/>
    <n v="3"/>
    <n v="3"/>
    <n v="5"/>
    <n v="2"/>
    <n v="12"/>
    <n v="11"/>
    <x v="1"/>
    <s v="Pass"/>
    <n v="0"/>
    <n v="0"/>
    <n v="0"/>
    <n v="70"/>
    <n v="0"/>
    <n v="14"/>
    <x v="0"/>
  </r>
  <r>
    <s v="MS"/>
    <s v="M"/>
    <n v="17"/>
    <s v="U"/>
    <s v="GT3"/>
    <s v="T"/>
    <n v="3"/>
    <n v="4"/>
    <s v="services"/>
    <s v="other"/>
    <s v="other"/>
    <s v="mother"/>
    <n v="1"/>
    <n v="2"/>
    <n v="1"/>
    <s v="no"/>
    <s v="yes"/>
    <s v="no"/>
    <s v="yes"/>
    <s v="no"/>
    <s v="yes"/>
    <s v="yes"/>
    <s v="yes"/>
    <n v="5"/>
    <n v="4"/>
    <n v="4"/>
    <n v="3"/>
    <n v="4"/>
    <n v="5"/>
    <n v="8"/>
    <n v="8"/>
    <n v="9"/>
    <x v="10"/>
    <s v="Fail"/>
    <n v="1"/>
    <n v="60"/>
    <n v="0"/>
    <n v="40"/>
    <n v="50"/>
    <n v="37"/>
    <x v="1"/>
  </r>
  <r>
    <s v="MS"/>
    <s v="F"/>
    <n v="17"/>
    <s v="U"/>
    <s v="GT3"/>
    <s v="T"/>
    <n v="4"/>
    <n v="4"/>
    <s v="health"/>
    <s v="health"/>
    <s v="course"/>
    <s v="father"/>
    <n v="1"/>
    <n v="2"/>
    <n v="0"/>
    <s v="no"/>
    <s v="yes"/>
    <s v="no"/>
    <s v="no"/>
    <s v="yes"/>
    <s v="yes"/>
    <s v="yes"/>
    <s v="no"/>
    <n v="5"/>
    <n v="2"/>
    <n v="5"/>
    <n v="1"/>
    <n v="1"/>
    <n v="5"/>
    <n v="0"/>
    <n v="13"/>
    <n v="15"/>
    <x v="8"/>
    <s v="Pass"/>
    <n v="0"/>
    <n v="0"/>
    <n v="0"/>
    <n v="40"/>
    <n v="0"/>
    <n v="8"/>
    <x v="0"/>
  </r>
  <r>
    <s v="MS"/>
    <s v="M"/>
    <n v="16"/>
    <s v="R"/>
    <s v="LE3"/>
    <s v="T"/>
    <n v="4"/>
    <n v="1"/>
    <s v="other"/>
    <s v="at_home"/>
    <s v="other"/>
    <s v="father"/>
    <n v="1"/>
    <n v="1"/>
    <n v="0"/>
    <s v="no"/>
    <s v="no"/>
    <s v="no"/>
    <s v="no"/>
    <s v="yes"/>
    <s v="yes"/>
    <s v="yes"/>
    <s v="no"/>
    <n v="4"/>
    <n v="1"/>
    <n v="2"/>
    <n v="2"/>
    <n v="1"/>
    <n v="2"/>
    <n v="0"/>
    <n v="10"/>
    <n v="11"/>
    <x v="0"/>
    <s v="Pass"/>
    <n v="0"/>
    <n v="0"/>
    <n v="0"/>
    <n v="70"/>
    <n v="0"/>
    <n v="14"/>
    <x v="0"/>
  </r>
  <r>
    <s v="MS"/>
    <s v="F"/>
    <n v="17"/>
    <s v="U"/>
    <s v="GT3"/>
    <s v="A"/>
    <n v="1"/>
    <n v="1"/>
    <s v="at_home"/>
    <s v="at_home"/>
    <s v="other"/>
    <s v="mother"/>
    <n v="1"/>
    <n v="2"/>
    <n v="0"/>
    <s v="no"/>
    <s v="no"/>
    <s v="no"/>
    <s v="yes"/>
    <s v="yes"/>
    <s v="yes"/>
    <s v="yes"/>
    <s v="yes"/>
    <n v="4"/>
    <n v="5"/>
    <n v="5"/>
    <n v="1"/>
    <n v="2"/>
    <n v="3"/>
    <n v="2"/>
    <n v="11"/>
    <n v="10"/>
    <x v="0"/>
    <s v="Pass"/>
    <n v="0"/>
    <n v="0"/>
    <n v="0"/>
    <n v="40"/>
    <n v="0"/>
    <n v="8"/>
    <x v="0"/>
  </r>
  <r>
    <s v="MS"/>
    <s v="F"/>
    <n v="17"/>
    <s v="R"/>
    <s v="GT3"/>
    <s v="T"/>
    <n v="4"/>
    <n v="2"/>
    <s v="other"/>
    <s v="other"/>
    <s v="course"/>
    <s v="mother"/>
    <n v="2"/>
    <n v="2"/>
    <n v="0"/>
    <s v="yes"/>
    <s v="yes"/>
    <s v="no"/>
    <s v="no"/>
    <s v="no"/>
    <s v="yes"/>
    <s v="yes"/>
    <s v="no"/>
    <n v="4"/>
    <n v="3"/>
    <n v="3"/>
    <n v="2"/>
    <n v="3"/>
    <n v="5"/>
    <n v="0"/>
    <n v="17"/>
    <n v="18"/>
    <x v="11"/>
    <s v="Pass"/>
    <n v="0"/>
    <n v="0"/>
    <n v="0"/>
    <n v="40"/>
    <n v="0"/>
    <n v="8"/>
    <x v="0"/>
  </r>
  <r>
    <s v="MS"/>
    <s v="M"/>
    <n v="16"/>
    <s v="U"/>
    <s v="LE3"/>
    <s v="A"/>
    <n v="2"/>
    <n v="2"/>
    <s v="other"/>
    <s v="services"/>
    <s v="course"/>
    <s v="father"/>
    <n v="2"/>
    <n v="2"/>
    <n v="0"/>
    <s v="no"/>
    <s v="yes"/>
    <s v="no"/>
    <s v="no"/>
    <s v="no"/>
    <s v="yes"/>
    <s v="yes"/>
    <s v="yes"/>
    <n v="4"/>
    <n v="1"/>
    <n v="2"/>
    <n v="2"/>
    <n v="2"/>
    <n v="5"/>
    <n v="0"/>
    <n v="12"/>
    <n v="13"/>
    <x v="3"/>
    <s v="Pass"/>
    <n v="0"/>
    <n v="0"/>
    <n v="0"/>
    <n v="40"/>
    <n v="0"/>
    <n v="8"/>
    <x v="0"/>
  </r>
  <r>
    <s v="MS"/>
    <s v="M"/>
    <n v="17"/>
    <s v="U"/>
    <s v="GT3"/>
    <s v="T"/>
    <n v="3"/>
    <n v="2"/>
    <s v="other"/>
    <s v="other"/>
    <s v="other"/>
    <s v="father"/>
    <n v="2"/>
    <n v="2"/>
    <n v="0"/>
    <s v="no"/>
    <s v="yes"/>
    <s v="yes"/>
    <s v="no"/>
    <s v="yes"/>
    <s v="yes"/>
    <s v="yes"/>
    <s v="no"/>
    <n v="4"/>
    <n v="1"/>
    <n v="2"/>
    <n v="2"/>
    <n v="2"/>
    <n v="1"/>
    <n v="0"/>
    <n v="13"/>
    <n v="14"/>
    <x v="3"/>
    <s v="Pass"/>
    <n v="1"/>
    <n v="0"/>
    <n v="0"/>
    <n v="40"/>
    <n v="50"/>
    <n v="13"/>
    <x v="0"/>
  </r>
  <r>
    <s v="MS"/>
    <s v="M"/>
    <n v="19"/>
    <s v="U"/>
    <s v="GT3"/>
    <s v="T"/>
    <n v="1"/>
    <n v="1"/>
    <s v="other"/>
    <s v="other"/>
    <s v="other"/>
    <s v="mother"/>
    <n v="1"/>
    <n v="2"/>
    <n v="2"/>
    <s v="no"/>
    <s v="yes"/>
    <s v="no"/>
    <s v="yes"/>
    <s v="yes"/>
    <s v="no"/>
    <s v="yes"/>
    <s v="no"/>
    <n v="4"/>
    <n v="4"/>
    <n v="3"/>
    <n v="3"/>
    <n v="4"/>
    <n v="4"/>
    <n v="2"/>
    <n v="9"/>
    <n v="9"/>
    <x v="7"/>
    <s v="Pass"/>
    <n v="0"/>
    <n v="100"/>
    <n v="0"/>
    <n v="40"/>
    <n v="0"/>
    <n v="48"/>
    <x v="1"/>
  </r>
  <r>
    <s v="MS"/>
    <s v="M"/>
    <n v="17"/>
    <s v="U"/>
    <s v="LE3"/>
    <s v="A"/>
    <n v="1"/>
    <n v="0"/>
    <s v="other"/>
    <s v="other"/>
    <s v="home"/>
    <s v="mother"/>
    <n v="1"/>
    <n v="1"/>
    <n v="0"/>
    <s v="no"/>
    <s v="no"/>
    <s v="no"/>
    <s v="no"/>
    <s v="yes"/>
    <s v="yes"/>
    <s v="no"/>
    <s v="yes"/>
    <n v="4"/>
    <n v="1"/>
    <n v="2"/>
    <n v="1"/>
    <n v="1"/>
    <n v="5"/>
    <n v="4"/>
    <n v="11"/>
    <n v="11"/>
    <x v="1"/>
    <s v="Pass"/>
    <n v="0"/>
    <n v="0"/>
    <n v="0"/>
    <n v="70"/>
    <n v="0"/>
    <n v="14"/>
    <x v="0"/>
  </r>
  <r>
    <s v="MS"/>
    <s v="F"/>
    <n v="17"/>
    <s v="R"/>
    <s v="GT3"/>
    <s v="T"/>
    <n v="1"/>
    <n v="1"/>
    <s v="at_home"/>
    <s v="at_home"/>
    <s v="course"/>
    <s v="father"/>
    <n v="2"/>
    <n v="1"/>
    <n v="0"/>
    <s v="no"/>
    <s v="yes"/>
    <s v="no"/>
    <s v="yes"/>
    <s v="yes"/>
    <s v="no"/>
    <s v="yes"/>
    <s v="yes"/>
    <n v="3"/>
    <n v="5"/>
    <n v="5"/>
    <n v="2"/>
    <n v="2"/>
    <n v="4"/>
    <n v="3"/>
    <n v="10"/>
    <n v="11"/>
    <x v="7"/>
    <s v="Pass"/>
    <n v="1"/>
    <n v="0"/>
    <n v="0"/>
    <n v="70"/>
    <n v="50"/>
    <n v="19"/>
    <x v="0"/>
  </r>
  <r>
    <s v="MS"/>
    <s v="F"/>
    <n v="16"/>
    <s v="R"/>
    <s v="GT3"/>
    <s v="T"/>
    <n v="1"/>
    <n v="2"/>
    <s v="other"/>
    <s v="other"/>
    <s v="home"/>
    <s v="father"/>
    <n v="1"/>
    <n v="3"/>
    <n v="0"/>
    <s v="yes"/>
    <s v="yes"/>
    <s v="no"/>
    <s v="no"/>
    <s v="no"/>
    <s v="yes"/>
    <s v="yes"/>
    <s v="yes"/>
    <n v="4"/>
    <n v="3"/>
    <n v="4"/>
    <n v="1"/>
    <n v="1"/>
    <n v="3"/>
    <n v="5"/>
    <n v="13"/>
    <n v="14"/>
    <x v="3"/>
    <s v="Pass"/>
    <n v="1"/>
    <n v="0"/>
    <n v="0"/>
    <n v="0"/>
    <n v="50"/>
    <n v="5"/>
    <x v="0"/>
  </r>
  <r>
    <s v="MS"/>
    <s v="M"/>
    <n v="16"/>
    <s v="R"/>
    <s v="LE3"/>
    <s v="T"/>
    <n v="1"/>
    <n v="2"/>
    <s v="other"/>
    <s v="at_home"/>
    <s v="course"/>
    <s v="mother"/>
    <n v="1"/>
    <n v="1"/>
    <n v="0"/>
    <s v="no"/>
    <s v="no"/>
    <s v="no"/>
    <s v="no"/>
    <s v="yes"/>
    <s v="yes"/>
    <s v="no"/>
    <s v="no"/>
    <n v="4"/>
    <n v="4"/>
    <n v="4"/>
    <n v="2"/>
    <n v="4"/>
    <n v="5"/>
    <n v="4"/>
    <n v="9"/>
    <n v="10"/>
    <x v="0"/>
    <s v="Pass"/>
    <n v="0"/>
    <n v="0"/>
    <n v="0"/>
    <n v="70"/>
    <n v="0"/>
    <n v="14"/>
    <x v="0"/>
  </r>
  <r>
    <s v="MS"/>
    <s v="F"/>
    <n v="17"/>
    <s v="R"/>
    <s v="GT3"/>
    <s v="T"/>
    <n v="3"/>
    <n v="1"/>
    <s v="other"/>
    <s v="other"/>
    <s v="course"/>
    <s v="mother"/>
    <n v="2"/>
    <n v="2"/>
    <n v="3"/>
    <s v="no"/>
    <s v="yes"/>
    <s v="no"/>
    <s v="yes"/>
    <s v="no"/>
    <s v="yes"/>
    <s v="yes"/>
    <s v="yes"/>
    <n v="5"/>
    <n v="4"/>
    <n v="4"/>
    <n v="1"/>
    <n v="1"/>
    <n v="5"/>
    <n v="2"/>
    <n v="7"/>
    <n v="9"/>
    <x v="7"/>
    <s v="Pass"/>
    <n v="0"/>
    <n v="100"/>
    <n v="0"/>
    <n v="40"/>
    <n v="0"/>
    <n v="48"/>
    <x v="1"/>
  </r>
  <r>
    <s v="MS"/>
    <s v="M"/>
    <n v="17"/>
    <s v="R"/>
    <s v="GT3"/>
    <s v="T"/>
    <n v="2"/>
    <n v="2"/>
    <s v="other"/>
    <s v="other"/>
    <s v="course"/>
    <s v="mother"/>
    <n v="2"/>
    <n v="1"/>
    <n v="0"/>
    <s v="no"/>
    <s v="no"/>
    <s v="no"/>
    <s v="yes"/>
    <s v="yes"/>
    <s v="no"/>
    <s v="no"/>
    <s v="yes"/>
    <n v="5"/>
    <n v="5"/>
    <n v="5"/>
    <n v="3"/>
    <n v="5"/>
    <n v="5"/>
    <n v="0"/>
    <n v="8"/>
    <n v="13"/>
    <x v="7"/>
    <s v="Pass"/>
    <n v="1"/>
    <n v="0"/>
    <n v="0"/>
    <n v="70"/>
    <n v="50"/>
    <n v="19"/>
    <x v="0"/>
  </r>
  <r>
    <s v="MS"/>
    <s v="M"/>
    <n v="18"/>
    <s v="R"/>
    <s v="GT3"/>
    <s v="T"/>
    <n v="1"/>
    <n v="0"/>
    <s v="at_home"/>
    <s v="at_home"/>
    <s v="course"/>
    <s v="other"/>
    <n v="3"/>
    <n v="1"/>
    <n v="1"/>
    <s v="yes"/>
    <s v="yes"/>
    <s v="no"/>
    <s v="no"/>
    <s v="yes"/>
    <s v="yes"/>
    <s v="no"/>
    <s v="no"/>
    <n v="4"/>
    <n v="3"/>
    <n v="2"/>
    <n v="1"/>
    <n v="1"/>
    <n v="4"/>
    <n v="0"/>
    <n v="12"/>
    <n v="12"/>
    <x v="3"/>
    <s v="Pass"/>
    <n v="0"/>
    <n v="60"/>
    <n v="0"/>
    <n v="70"/>
    <n v="0"/>
    <n v="38"/>
    <x v="1"/>
  </r>
  <r>
    <s v="MS"/>
    <s v="M"/>
    <n v="17"/>
    <s v="R"/>
    <s v="GT3"/>
    <s v="T"/>
    <n v="1"/>
    <n v="1"/>
    <s v="other"/>
    <s v="services"/>
    <s v="course"/>
    <s v="mother"/>
    <n v="2"/>
    <n v="1"/>
    <n v="0"/>
    <s v="no"/>
    <s v="yes"/>
    <s v="no"/>
    <s v="yes"/>
    <s v="no"/>
    <s v="yes"/>
    <s v="yes"/>
    <s v="yes"/>
    <n v="4"/>
    <n v="5"/>
    <n v="5"/>
    <n v="1"/>
    <n v="3"/>
    <n v="2"/>
    <n v="0"/>
    <n v="10"/>
    <n v="9"/>
    <x v="7"/>
    <s v="Pass"/>
    <n v="0"/>
    <n v="0"/>
    <n v="0"/>
    <n v="70"/>
    <n v="0"/>
    <n v="14"/>
    <x v="0"/>
  </r>
  <r>
    <s v="MS"/>
    <s v="M"/>
    <n v="18"/>
    <s v="U"/>
    <s v="LE3"/>
    <s v="T"/>
    <n v="1"/>
    <n v="1"/>
    <s v="at_home"/>
    <s v="at_home"/>
    <s v="course"/>
    <s v="mother"/>
    <n v="2"/>
    <n v="2"/>
    <n v="0"/>
    <s v="no"/>
    <s v="yes"/>
    <s v="no"/>
    <s v="yes"/>
    <s v="yes"/>
    <s v="yes"/>
    <s v="no"/>
    <s v="no"/>
    <n v="4"/>
    <n v="3"/>
    <n v="3"/>
    <n v="1"/>
    <n v="4"/>
    <n v="5"/>
    <n v="6"/>
    <n v="10"/>
    <n v="9"/>
    <x v="7"/>
    <s v="Pass"/>
    <n v="0"/>
    <n v="0"/>
    <n v="0"/>
    <n v="40"/>
    <n v="0"/>
    <n v="8"/>
    <x v="0"/>
  </r>
  <r>
    <s v="MS"/>
    <s v="F"/>
    <n v="16"/>
    <s v="R"/>
    <s v="LE3"/>
    <s v="T"/>
    <n v="2"/>
    <n v="2"/>
    <s v="other"/>
    <s v="services"/>
    <s v="course"/>
    <s v="father"/>
    <n v="1"/>
    <n v="2"/>
    <n v="0"/>
    <s v="no"/>
    <s v="no"/>
    <s v="no"/>
    <s v="yes"/>
    <s v="yes"/>
    <s v="yes"/>
    <s v="no"/>
    <s v="yes"/>
    <n v="5"/>
    <n v="4"/>
    <n v="3"/>
    <n v="1"/>
    <n v="1"/>
    <n v="1"/>
    <n v="0"/>
    <n v="11"/>
    <n v="13"/>
    <x v="1"/>
    <s v="Pass"/>
    <n v="1"/>
    <n v="0"/>
    <n v="0"/>
    <n v="40"/>
    <n v="50"/>
    <n v="13"/>
    <x v="0"/>
  </r>
  <r>
    <s v="MS"/>
    <s v="M"/>
    <n v="17"/>
    <s v="U"/>
    <s v="GT3"/>
    <s v="T"/>
    <n v="2"/>
    <n v="2"/>
    <s v="other"/>
    <s v="other"/>
    <s v="course"/>
    <s v="mother"/>
    <n v="1"/>
    <n v="1"/>
    <n v="1"/>
    <s v="no"/>
    <s v="no"/>
    <s v="no"/>
    <s v="yes"/>
    <s v="yes"/>
    <s v="yes"/>
    <s v="no"/>
    <s v="yes"/>
    <n v="1"/>
    <n v="2"/>
    <n v="1"/>
    <n v="2"/>
    <n v="3"/>
    <n v="5"/>
    <n v="0"/>
    <n v="7"/>
    <n v="0"/>
    <x v="13"/>
    <s v="Fail"/>
    <n v="0"/>
    <n v="60"/>
    <n v="0"/>
    <n v="70"/>
    <n v="0"/>
    <n v="38"/>
    <x v="1"/>
  </r>
  <r>
    <s v="MS"/>
    <s v="M"/>
    <n v="16"/>
    <s v="R"/>
    <s v="GT3"/>
    <s v="T"/>
    <n v="3"/>
    <n v="2"/>
    <s v="services"/>
    <s v="other"/>
    <s v="course"/>
    <s v="father"/>
    <n v="2"/>
    <n v="1"/>
    <n v="0"/>
    <s v="no"/>
    <s v="no"/>
    <s v="no"/>
    <s v="no"/>
    <s v="yes"/>
    <s v="yes"/>
    <s v="yes"/>
    <s v="no"/>
    <n v="4"/>
    <n v="5"/>
    <n v="5"/>
    <n v="2"/>
    <n v="3"/>
    <n v="5"/>
    <n v="2"/>
    <n v="11"/>
    <n v="9"/>
    <x v="7"/>
    <s v="Pass"/>
    <n v="0"/>
    <n v="0"/>
    <n v="0"/>
    <n v="70"/>
    <n v="0"/>
    <n v="14"/>
    <x v="0"/>
  </r>
  <r>
    <s v="MS"/>
    <s v="M"/>
    <n v="16"/>
    <s v="R"/>
    <s v="LE3"/>
    <s v="T"/>
    <n v="1"/>
    <n v="1"/>
    <s v="at_home"/>
    <s v="other"/>
    <s v="course"/>
    <s v="mother"/>
    <n v="2"/>
    <n v="1"/>
    <n v="0"/>
    <s v="no"/>
    <s v="no"/>
    <s v="no"/>
    <s v="yes"/>
    <s v="yes"/>
    <s v="yes"/>
    <s v="yes"/>
    <s v="no"/>
    <n v="4"/>
    <n v="5"/>
    <n v="5"/>
    <n v="2"/>
    <n v="4"/>
    <n v="5"/>
    <n v="0"/>
    <n v="10"/>
    <n v="10"/>
    <x v="9"/>
    <s v="Fail"/>
    <n v="1"/>
    <n v="0"/>
    <n v="0"/>
    <n v="70"/>
    <n v="50"/>
    <n v="19"/>
    <x v="0"/>
  </r>
  <r>
    <s v="MS"/>
    <s v="M"/>
    <n v="18"/>
    <s v="R"/>
    <s v="GT3"/>
    <s v="T"/>
    <n v="1"/>
    <n v="1"/>
    <s v="services"/>
    <s v="other"/>
    <s v="course"/>
    <s v="other"/>
    <n v="2"/>
    <n v="1"/>
    <n v="1"/>
    <s v="no"/>
    <s v="yes"/>
    <s v="no"/>
    <s v="no"/>
    <s v="yes"/>
    <s v="no"/>
    <s v="yes"/>
    <s v="yes"/>
    <n v="5"/>
    <n v="3"/>
    <n v="3"/>
    <n v="2"/>
    <n v="3"/>
    <n v="5"/>
    <n v="2"/>
    <n v="9"/>
    <n v="7"/>
    <x v="9"/>
    <s v="Fail"/>
    <n v="0"/>
    <n v="60"/>
    <n v="0"/>
    <n v="70"/>
    <n v="0"/>
    <n v="38"/>
    <x v="1"/>
  </r>
  <r>
    <s v="MS"/>
    <s v="M"/>
    <n v="18"/>
    <s v="R"/>
    <s v="GT3"/>
    <s v="T"/>
    <n v="3"/>
    <n v="2"/>
    <s v="services"/>
    <s v="other"/>
    <s v="course"/>
    <s v="mother"/>
    <n v="1"/>
    <n v="1"/>
    <n v="1"/>
    <s v="no"/>
    <s v="no"/>
    <s v="no"/>
    <s v="no"/>
    <s v="yes"/>
    <s v="no"/>
    <s v="yes"/>
    <s v="no"/>
    <n v="2"/>
    <n v="3"/>
    <n v="1"/>
    <n v="2"/>
    <n v="2"/>
    <n v="5"/>
    <n v="0"/>
    <n v="4"/>
    <n v="0"/>
    <x v="13"/>
    <s v="Fail"/>
    <n v="0"/>
    <n v="60"/>
    <n v="0"/>
    <n v="70"/>
    <n v="0"/>
    <n v="38"/>
    <x v="1"/>
  </r>
  <r>
    <s v="MS"/>
    <s v="M"/>
    <n v="19"/>
    <s v="U"/>
    <s v="GT3"/>
    <s v="T"/>
    <n v="3"/>
    <n v="2"/>
    <s v="at_home"/>
    <s v="services"/>
    <s v="course"/>
    <s v="mother"/>
    <n v="2"/>
    <n v="1"/>
    <n v="3"/>
    <s v="no"/>
    <s v="no"/>
    <s v="no"/>
    <s v="yes"/>
    <s v="yes"/>
    <s v="yes"/>
    <s v="no"/>
    <s v="no"/>
    <n v="3"/>
    <n v="2"/>
    <n v="1"/>
    <n v="1"/>
    <n v="1"/>
    <n v="3"/>
    <n v="4"/>
    <n v="6"/>
    <n v="11"/>
    <x v="9"/>
    <s v="Fail"/>
    <n v="1"/>
    <n v="100"/>
    <n v="0"/>
    <n v="70"/>
    <n v="50"/>
    <n v="59"/>
    <x v="1"/>
  </r>
  <r>
    <s v="MS"/>
    <s v="M"/>
    <n v="18"/>
    <s v="U"/>
    <s v="GT3"/>
    <s v="T"/>
    <n v="3"/>
    <n v="3"/>
    <s v="at_home"/>
    <s v="at_home"/>
    <s v="course"/>
    <s v="mother"/>
    <n v="1"/>
    <n v="2"/>
    <n v="2"/>
    <s v="no"/>
    <s v="yes"/>
    <s v="no"/>
    <s v="yes"/>
    <s v="yes"/>
    <s v="no"/>
    <s v="yes"/>
    <s v="no"/>
    <n v="4"/>
    <n v="4"/>
    <n v="5"/>
    <n v="1"/>
    <n v="3"/>
    <n v="3"/>
    <n v="9"/>
    <n v="4"/>
    <n v="8"/>
    <x v="10"/>
    <s v="Fail"/>
    <n v="0"/>
    <n v="100"/>
    <n v="0"/>
    <n v="40"/>
    <n v="0"/>
    <n v="48"/>
    <x v="1"/>
  </r>
  <r>
    <s v="MS"/>
    <s v="M"/>
    <n v="16"/>
    <s v="R"/>
    <s v="GT3"/>
    <s v="T"/>
    <n v="2"/>
    <n v="2"/>
    <s v="services"/>
    <s v="services"/>
    <s v="course"/>
    <s v="mother"/>
    <n v="2"/>
    <n v="1"/>
    <n v="0"/>
    <s v="no"/>
    <s v="yes"/>
    <s v="no"/>
    <s v="yes"/>
    <s v="yes"/>
    <s v="yes"/>
    <s v="yes"/>
    <s v="yes"/>
    <n v="5"/>
    <n v="4"/>
    <n v="3"/>
    <n v="2"/>
    <n v="4"/>
    <n v="4"/>
    <n v="6"/>
    <n v="7"/>
    <n v="8"/>
    <x v="10"/>
    <s v="Fail"/>
    <n v="0"/>
    <n v="0"/>
    <n v="0"/>
    <n v="70"/>
    <n v="0"/>
    <n v="14"/>
    <x v="0"/>
  </r>
  <r>
    <s v="MS"/>
    <s v="M"/>
    <n v="19"/>
    <s v="U"/>
    <s v="GT3"/>
    <s v="T"/>
    <n v="2"/>
    <n v="1"/>
    <s v="at_home"/>
    <s v="other"/>
    <s v="course"/>
    <s v="other"/>
    <n v="2"/>
    <n v="1"/>
    <n v="3"/>
    <s v="no"/>
    <s v="no"/>
    <s v="no"/>
    <s v="yes"/>
    <s v="no"/>
    <s v="no"/>
    <s v="yes"/>
    <s v="yes"/>
    <n v="4"/>
    <n v="4"/>
    <n v="3"/>
    <n v="1"/>
    <n v="3"/>
    <n v="5"/>
    <n v="4"/>
    <n v="8"/>
    <n v="9"/>
    <x v="9"/>
    <s v="Fail"/>
    <n v="0"/>
    <n v="100"/>
    <n v="0"/>
    <n v="70"/>
    <n v="0"/>
    <n v="54"/>
    <x v="1"/>
  </r>
  <r>
    <s v="MS"/>
    <s v="F"/>
    <n v="16"/>
    <s v="U"/>
    <s v="GT3"/>
    <s v="A"/>
    <n v="3"/>
    <n v="2"/>
    <s v="services"/>
    <s v="at_home"/>
    <s v="course"/>
    <s v="mother"/>
    <n v="2"/>
    <n v="2"/>
    <n v="2"/>
    <s v="no"/>
    <s v="yes"/>
    <s v="no"/>
    <s v="yes"/>
    <s v="yes"/>
    <s v="yes"/>
    <s v="no"/>
    <s v="yes"/>
    <n v="2"/>
    <n v="5"/>
    <n v="5"/>
    <n v="1"/>
    <n v="1"/>
    <n v="1"/>
    <n v="8"/>
    <n v="5"/>
    <n v="5"/>
    <x v="6"/>
    <s v="Fail"/>
    <n v="0"/>
    <n v="100"/>
    <n v="0"/>
    <n v="40"/>
    <n v="0"/>
    <n v="48"/>
    <x v="1"/>
  </r>
  <r>
    <s v="MS"/>
    <s v="F"/>
    <n v="17"/>
    <s v="U"/>
    <s v="GT3"/>
    <s v="T"/>
    <n v="1"/>
    <n v="1"/>
    <s v="other"/>
    <s v="at_home"/>
    <s v="course"/>
    <s v="mother"/>
    <n v="1"/>
    <n v="1"/>
    <n v="0"/>
    <s v="no"/>
    <s v="yes"/>
    <s v="no"/>
    <s v="yes"/>
    <s v="yes"/>
    <s v="yes"/>
    <s v="no"/>
    <s v="no"/>
    <n v="4"/>
    <n v="3"/>
    <n v="2"/>
    <n v="1"/>
    <n v="2"/>
    <n v="5"/>
    <n v="9"/>
    <n v="7"/>
    <n v="9"/>
    <x v="7"/>
    <s v="Pass"/>
    <n v="0"/>
    <n v="0"/>
    <n v="0"/>
    <n v="70"/>
    <n v="0"/>
    <n v="14"/>
    <x v="0"/>
  </r>
  <r>
    <s v="MS"/>
    <s v="M"/>
    <n v="20"/>
    <s v="R"/>
    <s v="GT3"/>
    <s v="T"/>
    <n v="1"/>
    <n v="1"/>
    <s v="other"/>
    <s v="other"/>
    <s v="course"/>
    <s v="other"/>
    <n v="2"/>
    <n v="1"/>
    <n v="1"/>
    <s v="no"/>
    <s v="yes"/>
    <s v="no"/>
    <s v="no"/>
    <s v="yes"/>
    <s v="no"/>
    <s v="yes"/>
    <s v="yes"/>
    <n v="4"/>
    <n v="4"/>
    <n v="3"/>
    <n v="2"/>
    <n v="4"/>
    <n v="4"/>
    <n v="12"/>
    <n v="8"/>
    <n v="11"/>
    <x v="7"/>
    <s v="Pass"/>
    <n v="1"/>
    <n v="60"/>
    <n v="50"/>
    <n v="70"/>
    <n v="50"/>
    <n v="58"/>
    <x v="1"/>
  </r>
  <r>
    <s v="MS"/>
    <s v="F"/>
    <n v="18"/>
    <s v="R"/>
    <s v="GT3"/>
    <s v="A"/>
    <n v="4"/>
    <n v="3"/>
    <s v="services"/>
    <s v="services"/>
    <s v="course"/>
    <s v="mother"/>
    <n v="1"/>
    <n v="1"/>
    <n v="0"/>
    <s v="no"/>
    <s v="yes"/>
    <s v="no"/>
    <s v="no"/>
    <s v="yes"/>
    <s v="yes"/>
    <s v="yes"/>
    <s v="no"/>
    <n v="5"/>
    <n v="4"/>
    <n v="4"/>
    <n v="3"/>
    <n v="4"/>
    <n v="2"/>
    <n v="8"/>
    <n v="10"/>
    <n v="11"/>
    <x v="7"/>
    <s v="Pass"/>
    <n v="1"/>
    <n v="0"/>
    <n v="0"/>
    <n v="70"/>
    <n v="50"/>
    <n v="19"/>
    <x v="0"/>
  </r>
  <r>
    <s v="MS"/>
    <s v="M"/>
    <n v="18"/>
    <s v="R"/>
    <s v="GT3"/>
    <s v="T"/>
    <n v="3"/>
    <n v="2"/>
    <s v="other"/>
    <s v="other"/>
    <s v="course"/>
    <s v="mother"/>
    <n v="2"/>
    <n v="1"/>
    <n v="0"/>
    <s v="no"/>
    <s v="yes"/>
    <s v="no"/>
    <s v="no"/>
    <s v="no"/>
    <s v="yes"/>
    <s v="yes"/>
    <s v="no"/>
    <n v="2"/>
    <n v="5"/>
    <n v="5"/>
    <n v="5"/>
    <n v="5"/>
    <n v="5"/>
    <n v="8"/>
    <n v="9"/>
    <n v="10"/>
    <x v="0"/>
    <s v="Pass"/>
    <n v="0"/>
    <n v="0"/>
    <n v="0"/>
    <n v="70"/>
    <n v="0"/>
    <n v="14"/>
    <x v="0"/>
  </r>
  <r>
    <s v="MS"/>
    <s v="M"/>
    <n v="19"/>
    <s v="R"/>
    <s v="GT3"/>
    <s v="T"/>
    <n v="1"/>
    <n v="1"/>
    <s v="other"/>
    <s v="services"/>
    <s v="home"/>
    <s v="other"/>
    <n v="3"/>
    <n v="2"/>
    <n v="1"/>
    <s v="no"/>
    <s v="no"/>
    <s v="no"/>
    <s v="no"/>
    <s v="yes"/>
    <s v="yes"/>
    <s v="yes"/>
    <s v="no"/>
    <n v="5"/>
    <n v="4"/>
    <n v="4"/>
    <n v="3"/>
    <n v="3"/>
    <n v="2"/>
    <n v="8"/>
    <n v="10"/>
    <n v="9"/>
    <x v="0"/>
    <s v="Pass"/>
    <n v="0"/>
    <n v="60"/>
    <n v="0"/>
    <n v="40"/>
    <n v="0"/>
    <n v="32"/>
    <x v="1"/>
  </r>
  <r>
    <s v="MS"/>
    <s v="M"/>
    <n v="17"/>
    <s v="U"/>
    <s v="GT3"/>
    <s v="T"/>
    <n v="3"/>
    <n v="3"/>
    <s v="health"/>
    <s v="other"/>
    <s v="course"/>
    <s v="mother"/>
    <n v="2"/>
    <n v="2"/>
    <n v="1"/>
    <s v="no"/>
    <s v="yes"/>
    <s v="no"/>
    <s v="no"/>
    <s v="yes"/>
    <s v="yes"/>
    <s v="yes"/>
    <s v="no"/>
    <n v="4"/>
    <n v="5"/>
    <n v="4"/>
    <n v="2"/>
    <n v="3"/>
    <n v="3"/>
    <n v="4"/>
    <n v="8"/>
    <n v="9"/>
    <x v="7"/>
    <s v="Pass"/>
    <n v="0"/>
    <n v="60"/>
    <n v="0"/>
    <n v="40"/>
    <n v="0"/>
    <n v="32"/>
    <x v="1"/>
  </r>
  <r>
    <s v="MS"/>
    <s v="M"/>
    <n v="18"/>
    <s v="U"/>
    <s v="LE3"/>
    <s v="T"/>
    <n v="1"/>
    <n v="3"/>
    <s v="at_home"/>
    <s v="services"/>
    <s v="course"/>
    <s v="mother"/>
    <n v="1"/>
    <n v="1"/>
    <n v="0"/>
    <s v="no"/>
    <s v="no"/>
    <s v="no"/>
    <s v="no"/>
    <s v="yes"/>
    <s v="no"/>
    <s v="yes"/>
    <s v="yes"/>
    <n v="4"/>
    <n v="3"/>
    <n v="3"/>
    <n v="2"/>
    <n v="3"/>
    <n v="3"/>
    <n v="0"/>
    <n v="9"/>
    <n v="10"/>
    <x v="9"/>
    <s v="Fail"/>
    <n v="1"/>
    <n v="0"/>
    <n v="0"/>
    <n v="70"/>
    <n v="50"/>
    <n v="19"/>
    <x v="0"/>
  </r>
  <r>
    <s v="MS"/>
    <s v="M"/>
    <n v="19"/>
    <s v="R"/>
    <s v="GT3"/>
    <s v="T"/>
    <n v="1"/>
    <n v="1"/>
    <s v="other"/>
    <s v="other"/>
    <s v="home"/>
    <s v="other"/>
    <n v="3"/>
    <n v="1"/>
    <n v="1"/>
    <s v="no"/>
    <s v="yes"/>
    <s v="no"/>
    <s v="no"/>
    <s v="yes"/>
    <s v="yes"/>
    <s v="yes"/>
    <s v="no"/>
    <n v="4"/>
    <n v="4"/>
    <n v="4"/>
    <n v="3"/>
    <n v="3"/>
    <n v="5"/>
    <n v="4"/>
    <n v="8"/>
    <n v="9"/>
    <x v="7"/>
    <s v="Pass"/>
    <n v="0"/>
    <n v="60"/>
    <n v="0"/>
    <n v="70"/>
    <n v="0"/>
    <n v="38"/>
    <x v="1"/>
  </r>
  <r>
    <s v="MS"/>
    <s v="F"/>
    <n v="18"/>
    <s v="U"/>
    <s v="GT3"/>
    <s v="A"/>
    <n v="1"/>
    <n v="2"/>
    <s v="at_home"/>
    <s v="other"/>
    <s v="course"/>
    <s v="mother"/>
    <n v="2"/>
    <n v="2"/>
    <n v="2"/>
    <s v="no"/>
    <s v="yes"/>
    <s v="no"/>
    <s v="no"/>
    <s v="yes"/>
    <s v="yes"/>
    <s v="no"/>
    <s v="no"/>
    <n v="4"/>
    <n v="3"/>
    <n v="3"/>
    <n v="1"/>
    <n v="1"/>
    <n v="5"/>
    <n v="2"/>
    <n v="6"/>
    <n v="8"/>
    <x v="10"/>
    <s v="Fail"/>
    <n v="0"/>
    <n v="100"/>
    <n v="0"/>
    <n v="40"/>
    <n v="0"/>
    <n v="48"/>
    <x v="1"/>
  </r>
  <r>
    <s v="MS"/>
    <s v="F"/>
    <n v="19"/>
    <s v="U"/>
    <s v="LE3"/>
    <s v="A"/>
    <n v="1"/>
    <n v="1"/>
    <s v="at_home"/>
    <s v="other"/>
    <s v="course"/>
    <s v="mother"/>
    <n v="1"/>
    <n v="1"/>
    <n v="0"/>
    <s v="no"/>
    <s v="yes"/>
    <s v="no"/>
    <s v="no"/>
    <s v="yes"/>
    <s v="no"/>
    <s v="no"/>
    <s v="no"/>
    <n v="1"/>
    <n v="4"/>
    <n v="4"/>
    <n v="1"/>
    <n v="1"/>
    <n v="5"/>
    <n v="0"/>
    <n v="6"/>
    <n v="8"/>
    <x v="6"/>
    <s v="Fail"/>
    <n v="1"/>
    <n v="0"/>
    <n v="0"/>
    <n v="70"/>
    <n v="50"/>
    <n v="19"/>
    <x v="0"/>
  </r>
  <r>
    <s v="MS"/>
    <s v="F"/>
    <n v="18"/>
    <s v="R"/>
    <s v="GT3"/>
    <s v="T"/>
    <n v="2"/>
    <n v="2"/>
    <s v="other"/>
    <s v="other"/>
    <s v="other"/>
    <s v="mother"/>
    <n v="2"/>
    <n v="1"/>
    <n v="1"/>
    <s v="no"/>
    <s v="no"/>
    <s v="no"/>
    <s v="no"/>
    <s v="yes"/>
    <s v="no"/>
    <s v="yes"/>
    <s v="yes"/>
    <n v="5"/>
    <n v="5"/>
    <n v="5"/>
    <n v="1"/>
    <n v="1"/>
    <n v="3"/>
    <n v="0"/>
    <n v="8"/>
    <n v="6"/>
    <x v="13"/>
    <s v="Fail"/>
    <n v="1"/>
    <n v="60"/>
    <n v="0"/>
    <n v="70"/>
    <n v="50"/>
    <n v="43"/>
    <x v="1"/>
  </r>
  <r>
    <s v="MS"/>
    <s v="F"/>
    <n v="17"/>
    <s v="R"/>
    <s v="GT3"/>
    <s v="T"/>
    <n v="0"/>
    <n v="0"/>
    <s v="at_home"/>
    <s v="other"/>
    <s v="course"/>
    <s v="mother"/>
    <n v="2"/>
    <n v="1"/>
    <n v="0"/>
    <s v="no"/>
    <s v="yes"/>
    <s v="no"/>
    <s v="no"/>
    <s v="yes"/>
    <s v="yes"/>
    <s v="yes"/>
    <s v="no"/>
    <n v="4"/>
    <n v="4"/>
    <n v="3"/>
    <n v="1"/>
    <n v="1"/>
    <n v="5"/>
    <n v="0"/>
    <n v="10"/>
    <n v="11"/>
    <x v="0"/>
    <s v="Pass"/>
    <n v="0"/>
    <n v="0"/>
    <n v="0"/>
    <n v="70"/>
    <n v="0"/>
    <n v="14"/>
    <x v="0"/>
  </r>
  <r>
    <s v="MS"/>
    <s v="F"/>
    <n v="17"/>
    <s v="R"/>
    <s v="LE3"/>
    <s v="A"/>
    <n v="3"/>
    <n v="1"/>
    <s v="other"/>
    <s v="at_home"/>
    <s v="course"/>
    <s v="other"/>
    <n v="2"/>
    <n v="3"/>
    <n v="0"/>
    <s v="no"/>
    <s v="yes"/>
    <s v="yes"/>
    <s v="no"/>
    <s v="yes"/>
    <s v="no"/>
    <s v="no"/>
    <s v="no"/>
    <n v="4"/>
    <n v="2"/>
    <n v="3"/>
    <n v="2"/>
    <n v="2"/>
    <n v="3"/>
    <n v="5"/>
    <n v="8"/>
    <n v="7"/>
    <x v="10"/>
    <s v="Fail"/>
    <n v="0"/>
    <n v="0"/>
    <n v="0"/>
    <n v="0"/>
    <n v="0"/>
    <n v="0"/>
    <x v="0"/>
  </r>
  <r>
    <s v="MS"/>
    <s v="F"/>
    <n v="17"/>
    <s v="U"/>
    <s v="GT3"/>
    <s v="T"/>
    <n v="4"/>
    <n v="2"/>
    <s v="teacher"/>
    <s v="services"/>
    <s v="home"/>
    <s v="mother"/>
    <n v="1"/>
    <n v="2"/>
    <n v="0"/>
    <s v="yes"/>
    <s v="yes"/>
    <s v="no"/>
    <s v="yes"/>
    <s v="yes"/>
    <s v="yes"/>
    <s v="yes"/>
    <s v="no"/>
    <n v="5"/>
    <n v="5"/>
    <n v="5"/>
    <n v="1"/>
    <n v="3"/>
    <n v="5"/>
    <n v="0"/>
    <n v="8"/>
    <n v="8"/>
    <x v="13"/>
    <s v="Fail"/>
    <n v="1"/>
    <n v="0"/>
    <n v="0"/>
    <n v="40"/>
    <n v="50"/>
    <n v="13"/>
    <x v="0"/>
  </r>
  <r>
    <s v="MS"/>
    <s v="F"/>
    <n v="18"/>
    <s v="R"/>
    <s v="LE3"/>
    <s v="T"/>
    <n v="2"/>
    <n v="2"/>
    <s v="services"/>
    <s v="services"/>
    <s v="course"/>
    <s v="mother"/>
    <n v="1"/>
    <n v="2"/>
    <n v="1"/>
    <s v="no"/>
    <s v="yes"/>
    <s v="no"/>
    <s v="yes"/>
    <s v="yes"/>
    <s v="yes"/>
    <s v="yes"/>
    <s v="no"/>
    <n v="2"/>
    <n v="3"/>
    <n v="3"/>
    <n v="1"/>
    <n v="2"/>
    <n v="4"/>
    <n v="3"/>
    <n v="7"/>
    <n v="6"/>
    <x v="10"/>
    <s v="Fail"/>
    <n v="0"/>
    <n v="60"/>
    <n v="0"/>
    <n v="40"/>
    <n v="0"/>
    <n v="32"/>
    <x v="1"/>
  </r>
  <r>
    <s v="MS"/>
    <s v="F"/>
    <n v="17"/>
    <s v="U"/>
    <s v="GT3"/>
    <s v="T"/>
    <n v="4"/>
    <n v="1"/>
    <s v="health"/>
    <s v="at_home"/>
    <s v="course"/>
    <s v="mother"/>
    <n v="1"/>
    <n v="1"/>
    <n v="0"/>
    <s v="no"/>
    <s v="yes"/>
    <s v="no"/>
    <s v="no"/>
    <s v="yes"/>
    <s v="yes"/>
    <s v="no"/>
    <s v="yes"/>
    <n v="3"/>
    <n v="2"/>
    <n v="2"/>
    <n v="1"/>
    <n v="1"/>
    <n v="5"/>
    <n v="0"/>
    <n v="8"/>
    <n v="10"/>
    <x v="9"/>
    <s v="Fail"/>
    <n v="1"/>
    <n v="0"/>
    <n v="0"/>
    <n v="70"/>
    <n v="50"/>
    <n v="19"/>
    <x v="0"/>
  </r>
  <r>
    <s v="MS"/>
    <s v="F"/>
    <n v="17"/>
    <s v="U"/>
    <s v="LE3"/>
    <s v="T"/>
    <n v="1"/>
    <n v="2"/>
    <s v="at_home"/>
    <s v="other"/>
    <s v="course"/>
    <s v="father"/>
    <n v="1"/>
    <n v="1"/>
    <n v="0"/>
    <s v="no"/>
    <s v="no"/>
    <s v="no"/>
    <s v="no"/>
    <s v="yes"/>
    <s v="yes"/>
    <s v="yes"/>
    <s v="no"/>
    <n v="5"/>
    <n v="5"/>
    <n v="1"/>
    <n v="1"/>
    <n v="1"/>
    <n v="3"/>
    <n v="0"/>
    <n v="7"/>
    <n v="10"/>
    <x v="7"/>
    <s v="Pass"/>
    <n v="0"/>
    <n v="0"/>
    <n v="0"/>
    <n v="70"/>
    <n v="0"/>
    <n v="14"/>
    <x v="0"/>
  </r>
  <r>
    <s v="MS"/>
    <s v="F"/>
    <n v="18"/>
    <s v="U"/>
    <s v="GT3"/>
    <s v="T"/>
    <n v="1"/>
    <n v="1"/>
    <s v="other"/>
    <s v="other"/>
    <s v="course"/>
    <s v="mother"/>
    <n v="3"/>
    <n v="2"/>
    <n v="2"/>
    <s v="no"/>
    <s v="no"/>
    <s v="no"/>
    <s v="yes"/>
    <s v="yes"/>
    <s v="yes"/>
    <s v="no"/>
    <s v="yes"/>
    <n v="3"/>
    <n v="4"/>
    <n v="4"/>
    <n v="2"/>
    <n v="2"/>
    <n v="5"/>
    <n v="3"/>
    <n v="7"/>
    <n v="8"/>
    <x v="6"/>
    <s v="Fail"/>
    <n v="1"/>
    <n v="100"/>
    <n v="0"/>
    <n v="40"/>
    <n v="50"/>
    <n v="53"/>
    <x v="1"/>
  </r>
  <r>
    <s v="MS"/>
    <s v="F"/>
    <n v="18"/>
    <s v="U"/>
    <s v="GT3"/>
    <s v="T"/>
    <n v="2"/>
    <n v="2"/>
    <s v="services"/>
    <s v="at_home"/>
    <s v="reputation"/>
    <s v="father"/>
    <n v="2"/>
    <n v="2"/>
    <n v="0"/>
    <s v="no"/>
    <s v="no"/>
    <s v="no"/>
    <s v="yes"/>
    <s v="no"/>
    <s v="yes"/>
    <s v="yes"/>
    <s v="no"/>
    <n v="4"/>
    <n v="3"/>
    <n v="5"/>
    <n v="1"/>
    <n v="1"/>
    <n v="1"/>
    <n v="2"/>
    <n v="12"/>
    <n v="13"/>
    <x v="2"/>
    <s v="Pass"/>
    <n v="0"/>
    <n v="0"/>
    <n v="0"/>
    <n v="40"/>
    <n v="0"/>
    <n v="8"/>
    <x v="0"/>
  </r>
  <r>
    <s v="MS"/>
    <s v="F"/>
    <n v="17"/>
    <s v="U"/>
    <s v="GT3"/>
    <s v="T"/>
    <n v="3"/>
    <n v="3"/>
    <s v="services"/>
    <s v="services"/>
    <s v="course"/>
    <s v="mother"/>
    <n v="2"/>
    <n v="1"/>
    <n v="0"/>
    <s v="no"/>
    <s v="yes"/>
    <s v="no"/>
    <s v="no"/>
    <s v="yes"/>
    <s v="yes"/>
    <s v="yes"/>
    <s v="no"/>
    <n v="4"/>
    <n v="4"/>
    <n v="3"/>
    <n v="1"/>
    <n v="1"/>
    <n v="4"/>
    <n v="0"/>
    <n v="11"/>
    <n v="12"/>
    <x v="3"/>
    <s v="Pass"/>
    <n v="0"/>
    <n v="0"/>
    <n v="0"/>
    <n v="70"/>
    <n v="0"/>
    <n v="14"/>
    <x v="0"/>
  </r>
  <r>
    <s v="MS"/>
    <s v="F"/>
    <n v="18"/>
    <s v="U"/>
    <s v="LE3"/>
    <s v="A"/>
    <n v="1"/>
    <n v="2"/>
    <s v="at_home"/>
    <s v="other"/>
    <s v="reputation"/>
    <s v="mother"/>
    <n v="2"/>
    <n v="2"/>
    <n v="0"/>
    <s v="no"/>
    <s v="no"/>
    <s v="no"/>
    <s v="no"/>
    <s v="yes"/>
    <s v="yes"/>
    <s v="yes"/>
    <s v="no"/>
    <n v="4"/>
    <n v="4"/>
    <n v="3"/>
    <n v="1"/>
    <n v="2"/>
    <n v="4"/>
    <n v="0"/>
    <n v="12"/>
    <n v="13"/>
    <x v="2"/>
    <s v="Pass"/>
    <n v="0"/>
    <n v="0"/>
    <n v="0"/>
    <n v="40"/>
    <n v="0"/>
    <n v="8"/>
    <x v="0"/>
  </r>
  <r>
    <s v="MS"/>
    <s v="F"/>
    <n v="18"/>
    <s v="U"/>
    <s v="GT3"/>
    <s v="T"/>
    <n v="4"/>
    <n v="4"/>
    <s v="teacher"/>
    <s v="teacher"/>
    <s v="reputation"/>
    <s v="mother"/>
    <n v="2"/>
    <n v="2"/>
    <n v="0"/>
    <s v="no"/>
    <s v="no"/>
    <s v="no"/>
    <s v="yes"/>
    <s v="no"/>
    <s v="yes"/>
    <s v="yes"/>
    <s v="no"/>
    <n v="4"/>
    <n v="3"/>
    <n v="5"/>
    <n v="1"/>
    <n v="2"/>
    <n v="1"/>
    <n v="0"/>
    <n v="18"/>
    <n v="18"/>
    <x v="11"/>
    <s v="Pass"/>
    <n v="0"/>
    <n v="0"/>
    <n v="0"/>
    <n v="40"/>
    <n v="0"/>
    <n v="8"/>
    <x v="0"/>
  </r>
  <r>
    <s v="MS"/>
    <s v="M"/>
    <n v="18"/>
    <s v="U"/>
    <s v="LE3"/>
    <s v="T"/>
    <n v="4"/>
    <n v="4"/>
    <s v="services"/>
    <s v="other"/>
    <s v="reputation"/>
    <s v="mother"/>
    <n v="1"/>
    <n v="1"/>
    <n v="0"/>
    <s v="no"/>
    <s v="yes"/>
    <s v="no"/>
    <s v="yes"/>
    <s v="yes"/>
    <s v="yes"/>
    <s v="yes"/>
    <s v="no"/>
    <n v="5"/>
    <n v="4"/>
    <n v="5"/>
    <n v="1"/>
    <n v="1"/>
    <n v="5"/>
    <n v="3"/>
    <n v="17"/>
    <n v="17"/>
    <x v="4"/>
    <s v="Pass"/>
    <n v="0"/>
    <n v="0"/>
    <n v="0"/>
    <n v="70"/>
    <n v="0"/>
    <n v="14"/>
    <x v="0"/>
  </r>
  <r>
    <s v="MS"/>
    <s v="F"/>
    <n v="17"/>
    <s v="U"/>
    <s v="GT3"/>
    <s v="T"/>
    <n v="4"/>
    <n v="2"/>
    <s v="other"/>
    <s v="other"/>
    <s v="course"/>
    <s v="mother"/>
    <n v="2"/>
    <n v="2"/>
    <n v="0"/>
    <s v="no"/>
    <s v="yes"/>
    <s v="no"/>
    <s v="no"/>
    <s v="yes"/>
    <s v="yes"/>
    <s v="yes"/>
    <s v="no"/>
    <n v="4"/>
    <n v="3"/>
    <n v="3"/>
    <n v="1"/>
    <n v="2"/>
    <n v="4"/>
    <n v="0"/>
    <n v="17"/>
    <n v="18"/>
    <x v="11"/>
    <s v="Pass"/>
    <n v="0"/>
    <n v="0"/>
    <n v="0"/>
    <n v="40"/>
    <n v="0"/>
    <n v="8"/>
    <x v="0"/>
  </r>
  <r>
    <s v="MS"/>
    <s v="F"/>
    <n v="18"/>
    <s v="R"/>
    <s v="GT3"/>
    <s v="T"/>
    <n v="2"/>
    <n v="2"/>
    <s v="at_home"/>
    <s v="other"/>
    <s v="course"/>
    <s v="mother"/>
    <n v="3"/>
    <n v="2"/>
    <n v="1"/>
    <s v="no"/>
    <s v="no"/>
    <s v="no"/>
    <s v="yes"/>
    <s v="yes"/>
    <s v="yes"/>
    <s v="no"/>
    <s v="yes"/>
    <n v="4"/>
    <n v="3"/>
    <n v="3"/>
    <n v="1"/>
    <n v="1"/>
    <n v="4"/>
    <n v="0"/>
    <n v="9"/>
    <n v="0"/>
    <x v="13"/>
    <s v="Fail"/>
    <n v="0"/>
    <n v="60"/>
    <n v="0"/>
    <n v="40"/>
    <n v="0"/>
    <n v="32"/>
    <x v="1"/>
  </r>
  <r>
    <s v="MS"/>
    <s v="M"/>
    <n v="18"/>
    <s v="U"/>
    <s v="LE3"/>
    <s v="T"/>
    <n v="1"/>
    <n v="2"/>
    <s v="at_home"/>
    <s v="services"/>
    <s v="home"/>
    <s v="mother"/>
    <n v="2"/>
    <n v="1"/>
    <n v="0"/>
    <s v="no"/>
    <s v="yes"/>
    <s v="no"/>
    <s v="no"/>
    <s v="no"/>
    <s v="yes"/>
    <s v="no"/>
    <s v="no"/>
    <n v="4"/>
    <n v="1"/>
    <n v="4"/>
    <n v="5"/>
    <n v="5"/>
    <n v="1"/>
    <n v="8"/>
    <n v="10"/>
    <n v="11"/>
    <x v="0"/>
    <s v="Pass"/>
    <n v="0"/>
    <n v="0"/>
    <n v="0"/>
    <n v="70"/>
    <n v="0"/>
    <n v="14"/>
    <x v="0"/>
  </r>
  <r>
    <s v="MS"/>
    <s v="M"/>
    <n v="18"/>
    <s v="R"/>
    <s v="GT3"/>
    <s v="T"/>
    <n v="4"/>
    <n v="4"/>
    <s v="at_home"/>
    <s v="services"/>
    <s v="other"/>
    <s v="mother"/>
    <n v="3"/>
    <n v="1"/>
    <n v="0"/>
    <s v="no"/>
    <s v="yes"/>
    <s v="yes"/>
    <s v="yes"/>
    <s v="yes"/>
    <s v="yes"/>
    <s v="yes"/>
    <s v="yes"/>
    <n v="2"/>
    <n v="5"/>
    <n v="5"/>
    <n v="1"/>
    <n v="1"/>
    <n v="1"/>
    <n v="5"/>
    <n v="12"/>
    <n v="13"/>
    <x v="2"/>
    <s v="Pass"/>
    <n v="0"/>
    <n v="0"/>
    <n v="0"/>
    <n v="70"/>
    <n v="0"/>
    <n v="14"/>
    <x v="0"/>
  </r>
  <r>
    <s v="MS"/>
    <s v="M"/>
    <n v="17"/>
    <s v="R"/>
    <s v="GT3"/>
    <s v="T"/>
    <n v="1"/>
    <n v="1"/>
    <s v="other"/>
    <s v="services"/>
    <s v="other"/>
    <s v="father"/>
    <n v="3"/>
    <n v="1"/>
    <n v="0"/>
    <s v="no"/>
    <s v="no"/>
    <s v="no"/>
    <s v="no"/>
    <s v="no"/>
    <s v="no"/>
    <s v="no"/>
    <s v="no"/>
    <n v="4"/>
    <n v="2"/>
    <n v="3"/>
    <n v="3"/>
    <n v="4"/>
    <n v="4"/>
    <n v="4"/>
    <n v="12"/>
    <n v="13"/>
    <x v="2"/>
    <s v="Pass"/>
    <n v="0"/>
    <n v="0"/>
    <n v="0"/>
    <n v="70"/>
    <n v="0"/>
    <n v="14"/>
    <x v="0"/>
  </r>
  <r>
    <s v="MS"/>
    <s v="F"/>
    <n v="18"/>
    <s v="U"/>
    <s v="GT3"/>
    <s v="T"/>
    <n v="2"/>
    <n v="2"/>
    <s v="other"/>
    <s v="other"/>
    <s v="course"/>
    <s v="mother"/>
    <n v="2"/>
    <n v="2"/>
    <n v="0"/>
    <s v="no"/>
    <s v="yes"/>
    <s v="no"/>
    <s v="no"/>
    <s v="no"/>
    <s v="yes"/>
    <s v="yes"/>
    <s v="yes"/>
    <n v="1"/>
    <n v="3"/>
    <n v="1"/>
    <n v="1"/>
    <n v="1"/>
    <n v="2"/>
    <n v="4"/>
    <n v="8"/>
    <n v="8"/>
    <x v="7"/>
    <s v="Pass"/>
    <n v="0"/>
    <n v="0"/>
    <n v="0"/>
    <n v="40"/>
    <n v="0"/>
    <n v="8"/>
    <x v="0"/>
  </r>
  <r>
    <s v="MS"/>
    <s v="F"/>
    <n v="18"/>
    <s v="U"/>
    <s v="LE3"/>
    <s v="T"/>
    <n v="2"/>
    <n v="2"/>
    <s v="services"/>
    <s v="services"/>
    <s v="course"/>
    <s v="father"/>
    <n v="2"/>
    <n v="3"/>
    <n v="0"/>
    <s v="no"/>
    <s v="no"/>
    <s v="no"/>
    <s v="no"/>
    <s v="yes"/>
    <s v="yes"/>
    <s v="yes"/>
    <s v="yes"/>
    <n v="5"/>
    <n v="4"/>
    <n v="5"/>
    <n v="1"/>
    <n v="4"/>
    <n v="3"/>
    <n v="0"/>
    <n v="11"/>
    <n v="12"/>
    <x v="3"/>
    <s v="Pass"/>
    <n v="0"/>
    <n v="0"/>
    <n v="0"/>
    <n v="0"/>
    <n v="0"/>
    <n v="0"/>
    <x v="0"/>
  </r>
  <r>
    <s v="MS"/>
    <s v="F"/>
    <n v="18"/>
    <s v="R"/>
    <s v="LE3"/>
    <s v="A"/>
    <n v="4"/>
    <n v="2"/>
    <s v="teacher"/>
    <s v="other"/>
    <s v="reputation"/>
    <s v="mother"/>
    <n v="1"/>
    <n v="2"/>
    <n v="0"/>
    <s v="no"/>
    <s v="no"/>
    <s v="no"/>
    <s v="yes"/>
    <s v="yes"/>
    <s v="yes"/>
    <s v="yes"/>
    <s v="yes"/>
    <n v="5"/>
    <n v="3"/>
    <n v="1"/>
    <n v="1"/>
    <n v="1"/>
    <n v="5"/>
    <n v="0"/>
    <n v="5"/>
    <n v="0"/>
    <x v="13"/>
    <s v="Fail"/>
    <n v="0"/>
    <n v="0"/>
    <n v="0"/>
    <n v="40"/>
    <n v="0"/>
    <n v="8"/>
    <x v="0"/>
  </r>
  <r>
    <s v="MS"/>
    <s v="F"/>
    <n v="18"/>
    <s v="U"/>
    <s v="GT3"/>
    <s v="T"/>
    <n v="1"/>
    <n v="1"/>
    <s v="at_home"/>
    <s v="services"/>
    <s v="course"/>
    <s v="mother"/>
    <n v="3"/>
    <n v="2"/>
    <n v="1"/>
    <s v="no"/>
    <s v="no"/>
    <s v="no"/>
    <s v="no"/>
    <s v="yes"/>
    <s v="no"/>
    <s v="no"/>
    <s v="no"/>
    <n v="4"/>
    <n v="4"/>
    <n v="2"/>
    <n v="1"/>
    <n v="2"/>
    <n v="2"/>
    <n v="2"/>
    <n v="9"/>
    <n v="10"/>
    <x v="7"/>
    <s v="Pass"/>
    <n v="0"/>
    <n v="60"/>
    <n v="0"/>
    <n v="40"/>
    <n v="0"/>
    <n v="32"/>
    <x v="1"/>
  </r>
  <r>
    <s v="MS"/>
    <s v="F"/>
    <n v="19"/>
    <s v="U"/>
    <s v="GT3"/>
    <s v="T"/>
    <n v="1"/>
    <n v="1"/>
    <s v="at_home"/>
    <s v="services"/>
    <s v="other"/>
    <s v="father"/>
    <n v="2"/>
    <n v="1"/>
    <n v="1"/>
    <s v="no"/>
    <s v="no"/>
    <s v="no"/>
    <s v="no"/>
    <s v="yes"/>
    <s v="no"/>
    <s v="no"/>
    <s v="no"/>
    <n v="5"/>
    <n v="5"/>
    <n v="5"/>
    <n v="2"/>
    <n v="3"/>
    <n v="2"/>
    <n v="0"/>
    <n v="5"/>
    <n v="0"/>
    <x v="13"/>
    <s v="Fail"/>
    <n v="0"/>
    <n v="60"/>
    <n v="0"/>
    <n v="70"/>
    <n v="0"/>
    <n v="38"/>
    <x v="1"/>
  </r>
  <r>
    <s v="MS"/>
    <s v="F"/>
    <n v="17"/>
    <s v="U"/>
    <s v="GT3"/>
    <s v="T"/>
    <n v="4"/>
    <n v="2"/>
    <s v="teacher"/>
    <s v="other"/>
    <s v="course"/>
    <s v="father"/>
    <n v="2"/>
    <n v="4"/>
    <n v="0"/>
    <s v="no"/>
    <s v="no"/>
    <s v="no"/>
    <s v="no"/>
    <s v="yes"/>
    <s v="yes"/>
    <s v="yes"/>
    <s v="yes"/>
    <n v="4"/>
    <n v="2"/>
    <n v="3"/>
    <n v="3"/>
    <n v="1"/>
    <n v="5"/>
    <n v="0"/>
    <n v="18"/>
    <n v="18"/>
    <x v="11"/>
    <s v="Pass"/>
    <n v="0"/>
    <n v="0"/>
    <n v="0"/>
    <n v="0"/>
    <n v="0"/>
    <n v="0"/>
    <x v="0"/>
  </r>
  <r>
    <s v="MS"/>
    <s v="F"/>
    <n v="17"/>
    <s v="R"/>
    <s v="LE3"/>
    <s v="A"/>
    <n v="2"/>
    <n v="1"/>
    <s v="services"/>
    <s v="other"/>
    <s v="reputation"/>
    <s v="mother"/>
    <n v="2"/>
    <n v="2"/>
    <n v="0"/>
    <s v="no"/>
    <s v="no"/>
    <s v="no"/>
    <s v="yes"/>
    <s v="yes"/>
    <s v="yes"/>
    <s v="yes"/>
    <s v="yes"/>
    <n v="5"/>
    <n v="3"/>
    <n v="3"/>
    <n v="1"/>
    <n v="2"/>
    <n v="2"/>
    <n v="5"/>
    <n v="11"/>
    <n v="11"/>
    <x v="1"/>
    <s v="Pass"/>
    <n v="0"/>
    <n v="0"/>
    <n v="0"/>
    <n v="40"/>
    <n v="0"/>
    <n v="8"/>
    <x v="0"/>
  </r>
  <r>
    <s v="MS"/>
    <s v="F"/>
    <n v="18"/>
    <s v="U"/>
    <s v="LE3"/>
    <s v="A"/>
    <n v="1"/>
    <n v="1"/>
    <s v="at_home"/>
    <s v="services"/>
    <s v="course"/>
    <s v="mother"/>
    <n v="1"/>
    <n v="2"/>
    <n v="0"/>
    <s v="no"/>
    <s v="no"/>
    <s v="no"/>
    <s v="no"/>
    <s v="yes"/>
    <s v="yes"/>
    <s v="no"/>
    <s v="yes"/>
    <n v="5"/>
    <n v="2"/>
    <n v="3"/>
    <n v="1"/>
    <n v="2"/>
    <n v="3"/>
    <n v="2"/>
    <n v="8"/>
    <n v="10"/>
    <x v="0"/>
    <s v="Pass"/>
    <n v="0"/>
    <n v="0"/>
    <n v="0"/>
    <n v="40"/>
    <n v="0"/>
    <n v="8"/>
    <x v="0"/>
  </r>
  <r>
    <s v="MS"/>
    <s v="F"/>
    <n v="18"/>
    <s v="U"/>
    <s v="GT3"/>
    <s v="T"/>
    <n v="1"/>
    <n v="2"/>
    <s v="at_home"/>
    <s v="at_home"/>
    <s v="course"/>
    <s v="father"/>
    <n v="2"/>
    <n v="2"/>
    <n v="0"/>
    <s v="no"/>
    <s v="yes"/>
    <s v="no"/>
    <s v="no"/>
    <s v="yes"/>
    <s v="no"/>
    <s v="no"/>
    <s v="no"/>
    <n v="4"/>
    <n v="1"/>
    <n v="1"/>
    <n v="1"/>
    <n v="1"/>
    <n v="4"/>
    <n v="0"/>
    <n v="11"/>
    <n v="11"/>
    <x v="1"/>
    <s v="Pass"/>
    <n v="0"/>
    <n v="0"/>
    <n v="0"/>
    <n v="40"/>
    <n v="0"/>
    <n v="8"/>
    <x v="0"/>
  </r>
  <r>
    <s v="MS"/>
    <s v="F"/>
    <n v="19"/>
    <s v="R"/>
    <s v="GT3"/>
    <s v="A"/>
    <n v="1"/>
    <n v="1"/>
    <s v="at_home"/>
    <s v="at_home"/>
    <s v="course"/>
    <s v="other"/>
    <n v="2"/>
    <n v="2"/>
    <n v="3"/>
    <s v="no"/>
    <s v="yes"/>
    <s v="no"/>
    <s v="yes"/>
    <s v="yes"/>
    <s v="no"/>
    <s v="no"/>
    <s v="yes"/>
    <n v="3"/>
    <n v="5"/>
    <n v="4"/>
    <n v="1"/>
    <n v="4"/>
    <n v="1"/>
    <n v="0"/>
    <n v="8"/>
    <n v="0"/>
    <x v="13"/>
    <s v="Fail"/>
    <n v="0"/>
    <n v="100"/>
    <n v="0"/>
    <n v="40"/>
    <n v="0"/>
    <n v="48"/>
    <x v="1"/>
  </r>
  <r>
    <s v="MS"/>
    <s v="F"/>
    <n v="18"/>
    <s v="R"/>
    <s v="GT3"/>
    <s v="T"/>
    <n v="2"/>
    <n v="2"/>
    <s v="services"/>
    <s v="other"/>
    <s v="home"/>
    <s v="mother"/>
    <n v="2"/>
    <n v="3"/>
    <n v="0"/>
    <s v="no"/>
    <s v="no"/>
    <s v="no"/>
    <s v="no"/>
    <s v="yes"/>
    <s v="yes"/>
    <s v="yes"/>
    <s v="yes"/>
    <n v="4"/>
    <n v="2"/>
    <n v="1"/>
    <n v="1"/>
    <n v="1"/>
    <n v="4"/>
    <n v="5"/>
    <n v="14"/>
    <n v="14"/>
    <x v="5"/>
    <s v="Pass"/>
    <n v="0"/>
    <n v="0"/>
    <n v="0"/>
    <n v="0"/>
    <n v="0"/>
    <n v="0"/>
    <x v="0"/>
  </r>
  <r>
    <s v="MS"/>
    <s v="M"/>
    <n v="17"/>
    <s v="R"/>
    <s v="GT3"/>
    <s v="T"/>
    <n v="4"/>
    <n v="3"/>
    <s v="services"/>
    <s v="other"/>
    <s v="home"/>
    <s v="mother"/>
    <n v="2"/>
    <n v="2"/>
    <n v="1"/>
    <s v="no"/>
    <s v="yes"/>
    <s v="yes"/>
    <s v="yes"/>
    <s v="no"/>
    <s v="yes"/>
    <s v="yes"/>
    <s v="yes"/>
    <n v="4"/>
    <n v="5"/>
    <n v="5"/>
    <n v="1"/>
    <n v="3"/>
    <n v="2"/>
    <n v="4"/>
    <n v="10"/>
    <n v="11"/>
    <x v="0"/>
    <s v="Pass"/>
    <n v="0"/>
    <n v="60"/>
    <n v="0"/>
    <n v="40"/>
    <n v="0"/>
    <n v="32"/>
    <x v="1"/>
  </r>
  <r>
    <s v="MS"/>
    <s v="F"/>
    <n v="18"/>
    <s v="U"/>
    <s v="GT3"/>
    <s v="T"/>
    <n v="3"/>
    <n v="3"/>
    <s v="services"/>
    <s v="services"/>
    <s v="course"/>
    <s v="father"/>
    <n v="1"/>
    <n v="2"/>
    <n v="0"/>
    <s v="no"/>
    <s v="yes"/>
    <s v="no"/>
    <s v="no"/>
    <s v="yes"/>
    <s v="yes"/>
    <s v="no"/>
    <s v="yes"/>
    <n v="5"/>
    <n v="3"/>
    <n v="4"/>
    <n v="1"/>
    <n v="1"/>
    <n v="5"/>
    <n v="0"/>
    <n v="10"/>
    <n v="10"/>
    <x v="7"/>
    <s v="Pass"/>
    <n v="0"/>
    <n v="0"/>
    <n v="0"/>
    <n v="40"/>
    <n v="0"/>
    <n v="8"/>
    <x v="0"/>
  </r>
  <r>
    <s v="MS"/>
    <s v="F"/>
    <n v="17"/>
    <s v="R"/>
    <s v="GT3"/>
    <s v="T"/>
    <n v="4"/>
    <n v="4"/>
    <s v="teacher"/>
    <s v="services"/>
    <s v="other"/>
    <s v="father"/>
    <n v="2"/>
    <n v="2"/>
    <n v="0"/>
    <s v="no"/>
    <s v="yes"/>
    <s v="yes"/>
    <s v="yes"/>
    <s v="yes"/>
    <s v="yes"/>
    <s v="yes"/>
    <s v="no"/>
    <n v="4"/>
    <n v="3"/>
    <n v="3"/>
    <n v="1"/>
    <n v="2"/>
    <n v="5"/>
    <n v="2"/>
    <n v="12"/>
    <n v="12"/>
    <x v="1"/>
    <s v="Pass"/>
    <n v="0"/>
    <n v="0"/>
    <n v="0"/>
    <n v="40"/>
    <n v="0"/>
    <n v="8"/>
    <x v="0"/>
  </r>
  <r>
    <s v="MS"/>
    <s v="F"/>
    <n v="17"/>
    <s v="U"/>
    <s v="LE3"/>
    <s v="A"/>
    <n v="3"/>
    <n v="2"/>
    <s v="services"/>
    <s v="other"/>
    <s v="reputation"/>
    <s v="mother"/>
    <n v="2"/>
    <n v="2"/>
    <n v="0"/>
    <s v="no"/>
    <s v="no"/>
    <s v="no"/>
    <s v="no"/>
    <s v="yes"/>
    <s v="yes"/>
    <s v="no"/>
    <s v="yes"/>
    <n v="1"/>
    <n v="2"/>
    <n v="3"/>
    <n v="1"/>
    <n v="2"/>
    <n v="5"/>
    <n v="0"/>
    <n v="15"/>
    <n v="14"/>
    <x v="5"/>
    <s v="Pass"/>
    <n v="0"/>
    <n v="0"/>
    <n v="0"/>
    <n v="40"/>
    <n v="0"/>
    <n v="8"/>
    <x v="0"/>
  </r>
  <r>
    <s v="MS"/>
    <s v="M"/>
    <n v="18"/>
    <s v="U"/>
    <s v="LE3"/>
    <s v="T"/>
    <n v="1"/>
    <n v="1"/>
    <s v="other"/>
    <s v="services"/>
    <s v="home"/>
    <s v="father"/>
    <n v="2"/>
    <n v="1"/>
    <n v="0"/>
    <s v="no"/>
    <s v="no"/>
    <s v="no"/>
    <s v="no"/>
    <s v="no"/>
    <s v="yes"/>
    <s v="yes"/>
    <s v="yes"/>
    <n v="3"/>
    <n v="3"/>
    <n v="2"/>
    <n v="1"/>
    <n v="2"/>
    <n v="3"/>
    <n v="2"/>
    <n v="14"/>
    <n v="13"/>
    <x v="2"/>
    <s v="Pass"/>
    <n v="0"/>
    <n v="0"/>
    <n v="0"/>
    <n v="70"/>
    <n v="0"/>
    <n v="14"/>
    <x v="0"/>
  </r>
  <r>
    <s v="MS"/>
    <s v="F"/>
    <n v="18"/>
    <s v="U"/>
    <s v="LE3"/>
    <s v="T"/>
    <n v="1"/>
    <n v="1"/>
    <s v="at_home"/>
    <s v="services"/>
    <s v="course"/>
    <s v="father"/>
    <n v="2"/>
    <n v="3"/>
    <n v="0"/>
    <s v="no"/>
    <s v="no"/>
    <s v="no"/>
    <s v="no"/>
    <s v="yes"/>
    <s v="yes"/>
    <s v="yes"/>
    <s v="no"/>
    <n v="5"/>
    <n v="3"/>
    <n v="2"/>
    <n v="1"/>
    <n v="1"/>
    <n v="4"/>
    <n v="0"/>
    <n v="19"/>
    <n v="17"/>
    <x v="11"/>
    <s v="Pass"/>
    <n v="0"/>
    <n v="0"/>
    <n v="0"/>
    <n v="0"/>
    <n v="0"/>
    <n v="0"/>
    <x v="0"/>
  </r>
  <r>
    <s v="MS"/>
    <s v="F"/>
    <n v="18"/>
    <s v="R"/>
    <s v="LE3"/>
    <s v="A"/>
    <n v="1"/>
    <n v="2"/>
    <s v="at_home"/>
    <s v="other"/>
    <s v="course"/>
    <s v="mother"/>
    <n v="3"/>
    <n v="2"/>
    <n v="0"/>
    <s v="no"/>
    <s v="no"/>
    <s v="no"/>
    <s v="no"/>
    <s v="yes"/>
    <s v="yes"/>
    <s v="no"/>
    <s v="yes"/>
    <n v="4"/>
    <n v="3"/>
    <n v="4"/>
    <n v="1"/>
    <n v="4"/>
    <n v="5"/>
    <n v="0"/>
    <n v="16"/>
    <n v="15"/>
    <x v="5"/>
    <s v="Pass"/>
    <n v="0"/>
    <n v="0"/>
    <n v="0"/>
    <n v="40"/>
    <n v="0"/>
    <n v="8"/>
    <x v="0"/>
  </r>
  <r>
    <s v="MS"/>
    <s v="F"/>
    <n v="18"/>
    <s v="U"/>
    <s v="GT3"/>
    <s v="T"/>
    <n v="3"/>
    <n v="3"/>
    <s v="services"/>
    <s v="services"/>
    <s v="other"/>
    <s v="mother"/>
    <n v="2"/>
    <n v="2"/>
    <n v="0"/>
    <s v="no"/>
    <s v="yes"/>
    <s v="no"/>
    <s v="no"/>
    <s v="yes"/>
    <s v="yes"/>
    <s v="yes"/>
    <s v="yes"/>
    <n v="4"/>
    <n v="3"/>
    <n v="2"/>
    <n v="1"/>
    <n v="3"/>
    <n v="3"/>
    <n v="6"/>
    <n v="13"/>
    <n v="12"/>
    <x v="3"/>
    <s v="Pass"/>
    <n v="0"/>
    <n v="0"/>
    <n v="0"/>
    <n v="40"/>
    <n v="0"/>
    <n v="8"/>
    <x v="0"/>
  </r>
  <r>
    <s v="MS"/>
    <s v="F"/>
    <n v="17"/>
    <s v="U"/>
    <s v="LE3"/>
    <s v="T"/>
    <n v="4"/>
    <n v="4"/>
    <s v="at_home"/>
    <s v="at_home"/>
    <s v="course"/>
    <s v="mother"/>
    <n v="1"/>
    <n v="2"/>
    <n v="0"/>
    <s v="no"/>
    <s v="yes"/>
    <s v="no"/>
    <s v="yes"/>
    <s v="yes"/>
    <s v="yes"/>
    <s v="yes"/>
    <s v="yes"/>
    <n v="2"/>
    <n v="3"/>
    <n v="4"/>
    <n v="1"/>
    <n v="1"/>
    <n v="1"/>
    <n v="4"/>
    <n v="15"/>
    <n v="14"/>
    <x v="5"/>
    <s v="Pass"/>
    <n v="0"/>
    <n v="0"/>
    <n v="0"/>
    <n v="40"/>
    <n v="0"/>
    <n v="8"/>
    <x v="0"/>
  </r>
  <r>
    <s v="MS"/>
    <s v="F"/>
    <n v="17"/>
    <s v="R"/>
    <s v="GT3"/>
    <s v="T"/>
    <n v="1"/>
    <n v="2"/>
    <s v="other"/>
    <s v="services"/>
    <s v="course"/>
    <s v="father"/>
    <n v="2"/>
    <n v="2"/>
    <n v="0"/>
    <s v="no"/>
    <s v="no"/>
    <s v="no"/>
    <s v="no"/>
    <s v="no"/>
    <s v="yes"/>
    <s v="no"/>
    <s v="no"/>
    <n v="3"/>
    <n v="2"/>
    <n v="2"/>
    <n v="1"/>
    <n v="2"/>
    <n v="3"/>
    <n v="0"/>
    <n v="13"/>
    <n v="13"/>
    <x v="3"/>
    <s v="Pass"/>
    <n v="0"/>
    <n v="0"/>
    <n v="0"/>
    <n v="40"/>
    <n v="0"/>
    <n v="8"/>
    <x v="0"/>
  </r>
  <r>
    <s v="MS"/>
    <s v="M"/>
    <n v="18"/>
    <s v="R"/>
    <s v="GT3"/>
    <s v="T"/>
    <n v="1"/>
    <n v="3"/>
    <s v="at_home"/>
    <s v="other"/>
    <s v="course"/>
    <s v="mother"/>
    <n v="2"/>
    <n v="2"/>
    <n v="0"/>
    <s v="no"/>
    <s v="yes"/>
    <s v="yes"/>
    <s v="no"/>
    <s v="yes"/>
    <s v="yes"/>
    <s v="no"/>
    <s v="no"/>
    <n v="3"/>
    <n v="3"/>
    <n v="4"/>
    <n v="2"/>
    <n v="4"/>
    <n v="3"/>
    <n v="0"/>
    <n v="8"/>
    <n v="10"/>
    <x v="9"/>
    <s v="Fail"/>
    <n v="1"/>
    <n v="0"/>
    <n v="0"/>
    <n v="40"/>
    <n v="50"/>
    <n v="13"/>
    <x v="0"/>
  </r>
  <r>
    <s v="MS"/>
    <s v="M"/>
    <n v="18"/>
    <s v="U"/>
    <s v="LE3"/>
    <s v="T"/>
    <n v="4"/>
    <n v="4"/>
    <s v="teacher"/>
    <s v="services"/>
    <s v="other"/>
    <s v="mother"/>
    <n v="2"/>
    <n v="3"/>
    <n v="0"/>
    <s v="no"/>
    <s v="no"/>
    <s v="no"/>
    <s v="no"/>
    <s v="yes"/>
    <s v="yes"/>
    <s v="yes"/>
    <s v="yes"/>
    <n v="4"/>
    <n v="2"/>
    <n v="2"/>
    <n v="2"/>
    <n v="2"/>
    <n v="5"/>
    <n v="0"/>
    <n v="15"/>
    <n v="16"/>
    <x v="8"/>
    <s v="Pass"/>
    <n v="0"/>
    <n v="0"/>
    <n v="0"/>
    <n v="0"/>
    <n v="0"/>
    <n v="0"/>
    <x v="0"/>
  </r>
  <r>
    <s v="MS"/>
    <s v="F"/>
    <n v="17"/>
    <s v="R"/>
    <s v="GT3"/>
    <s v="T"/>
    <n v="1"/>
    <n v="1"/>
    <s v="other"/>
    <s v="services"/>
    <s v="reputation"/>
    <s v="mother"/>
    <n v="3"/>
    <n v="1"/>
    <n v="1"/>
    <s v="no"/>
    <s v="yes"/>
    <s v="no"/>
    <s v="no"/>
    <s v="yes"/>
    <s v="yes"/>
    <s v="yes"/>
    <s v="yes"/>
    <n v="5"/>
    <n v="2"/>
    <n v="1"/>
    <n v="1"/>
    <n v="2"/>
    <n v="1"/>
    <n v="0"/>
    <n v="8"/>
    <n v="8"/>
    <x v="9"/>
    <s v="Fail"/>
    <n v="0"/>
    <n v="60"/>
    <n v="0"/>
    <n v="70"/>
    <n v="0"/>
    <n v="38"/>
    <x v="1"/>
  </r>
  <r>
    <s v="MS"/>
    <s v="F"/>
    <n v="18"/>
    <s v="U"/>
    <s v="GT3"/>
    <s v="T"/>
    <n v="2"/>
    <n v="3"/>
    <s v="at_home"/>
    <s v="services"/>
    <s v="course"/>
    <s v="father"/>
    <n v="2"/>
    <n v="1"/>
    <n v="0"/>
    <s v="no"/>
    <s v="yes"/>
    <s v="no"/>
    <s v="no"/>
    <s v="yes"/>
    <s v="yes"/>
    <s v="yes"/>
    <s v="yes"/>
    <n v="5"/>
    <n v="2"/>
    <n v="3"/>
    <n v="1"/>
    <n v="2"/>
    <n v="4"/>
    <n v="0"/>
    <n v="10"/>
    <n v="10"/>
    <x v="7"/>
    <s v="Pass"/>
    <n v="0"/>
    <n v="0"/>
    <n v="0"/>
    <n v="70"/>
    <n v="0"/>
    <n v="14"/>
    <x v="0"/>
  </r>
  <r>
    <s v="MS"/>
    <s v="F"/>
    <n v="18"/>
    <s v="R"/>
    <s v="GT3"/>
    <s v="T"/>
    <n v="4"/>
    <n v="4"/>
    <s v="other"/>
    <s v="teacher"/>
    <s v="other"/>
    <s v="father"/>
    <n v="3"/>
    <n v="2"/>
    <n v="0"/>
    <s v="no"/>
    <s v="yes"/>
    <s v="no"/>
    <s v="no"/>
    <s v="no"/>
    <s v="yes"/>
    <s v="yes"/>
    <s v="yes"/>
    <n v="3"/>
    <n v="2"/>
    <n v="2"/>
    <n v="4"/>
    <n v="2"/>
    <n v="5"/>
    <n v="0"/>
    <n v="7"/>
    <n v="5"/>
    <x v="13"/>
    <s v="Fail"/>
    <n v="1"/>
    <n v="0"/>
    <n v="0"/>
    <n v="40"/>
    <n v="50"/>
    <n v="13"/>
    <x v="0"/>
  </r>
  <r>
    <s v="MS"/>
    <s v="M"/>
    <n v="18"/>
    <s v="R"/>
    <s v="LE3"/>
    <s v="T"/>
    <n v="1"/>
    <n v="2"/>
    <s v="at_home"/>
    <s v="services"/>
    <s v="other"/>
    <s v="father"/>
    <n v="3"/>
    <n v="1"/>
    <n v="0"/>
    <s v="no"/>
    <s v="yes"/>
    <s v="no"/>
    <s v="yes"/>
    <s v="yes"/>
    <s v="no"/>
    <s v="yes"/>
    <s v="yes"/>
    <n v="4"/>
    <n v="3"/>
    <n v="3"/>
    <n v="2"/>
    <n v="3"/>
    <n v="3"/>
    <n v="3"/>
    <n v="9"/>
    <n v="10"/>
    <x v="7"/>
    <s v="Pass"/>
    <n v="0"/>
    <n v="0"/>
    <n v="0"/>
    <n v="70"/>
    <n v="0"/>
    <n v="14"/>
    <x v="0"/>
  </r>
  <r>
    <s v="MS"/>
    <s v="F"/>
    <n v="17"/>
    <s v="U"/>
    <s v="GT3"/>
    <s v="T"/>
    <n v="2"/>
    <n v="2"/>
    <s v="other"/>
    <s v="at_home"/>
    <s v="home"/>
    <s v="mother"/>
    <n v="1"/>
    <n v="3"/>
    <n v="0"/>
    <s v="no"/>
    <s v="no"/>
    <s v="no"/>
    <s v="yes"/>
    <s v="yes"/>
    <s v="yes"/>
    <s v="no"/>
    <s v="yes"/>
    <n v="3"/>
    <n v="4"/>
    <n v="3"/>
    <n v="1"/>
    <n v="1"/>
    <n v="3"/>
    <n v="8"/>
    <n v="10"/>
    <n v="11"/>
    <x v="1"/>
    <s v="Pass"/>
    <n v="0"/>
    <n v="0"/>
    <n v="0"/>
    <n v="0"/>
    <n v="0"/>
    <n v="0"/>
    <x v="0"/>
  </r>
  <r>
    <s v="MS"/>
    <s v="F"/>
    <n v="17"/>
    <s v="R"/>
    <s v="GT3"/>
    <s v="T"/>
    <n v="1"/>
    <n v="2"/>
    <s v="other"/>
    <s v="other"/>
    <s v="course"/>
    <s v="mother"/>
    <n v="1"/>
    <n v="1"/>
    <n v="0"/>
    <s v="no"/>
    <s v="no"/>
    <s v="no"/>
    <s v="yes"/>
    <s v="yes"/>
    <s v="yes"/>
    <s v="yes"/>
    <s v="no"/>
    <n v="3"/>
    <n v="5"/>
    <n v="5"/>
    <n v="1"/>
    <n v="3"/>
    <n v="1"/>
    <n v="4"/>
    <n v="7"/>
    <n v="8"/>
    <x v="9"/>
    <s v="Fail"/>
    <n v="0"/>
    <n v="0"/>
    <n v="0"/>
    <n v="70"/>
    <n v="0"/>
    <n v="14"/>
    <x v="0"/>
  </r>
  <r>
    <s v="MS"/>
    <s v="F"/>
    <n v="18"/>
    <s v="R"/>
    <s v="LE3"/>
    <s v="T"/>
    <n v="4"/>
    <n v="4"/>
    <s v="other"/>
    <s v="other"/>
    <s v="reputation"/>
    <s v="mother"/>
    <n v="2"/>
    <n v="3"/>
    <n v="0"/>
    <s v="no"/>
    <s v="no"/>
    <s v="no"/>
    <s v="no"/>
    <s v="yes"/>
    <s v="yes"/>
    <s v="yes"/>
    <s v="no"/>
    <n v="5"/>
    <n v="4"/>
    <n v="4"/>
    <n v="1"/>
    <n v="1"/>
    <n v="1"/>
    <n v="0"/>
    <n v="15"/>
    <n v="17"/>
    <x v="4"/>
    <s v="Pass"/>
    <n v="0"/>
    <n v="0"/>
    <n v="0"/>
    <n v="0"/>
    <n v="0"/>
    <n v="0"/>
    <x v="0"/>
  </r>
  <r>
    <s v="MS"/>
    <s v="F"/>
    <n v="18"/>
    <s v="R"/>
    <s v="GT3"/>
    <s v="T"/>
    <n v="1"/>
    <n v="1"/>
    <s v="other"/>
    <s v="other"/>
    <s v="home"/>
    <s v="mother"/>
    <n v="4"/>
    <n v="3"/>
    <n v="0"/>
    <s v="no"/>
    <s v="no"/>
    <s v="no"/>
    <s v="no"/>
    <s v="yes"/>
    <s v="yes"/>
    <s v="yes"/>
    <s v="no"/>
    <n v="4"/>
    <n v="3"/>
    <n v="2"/>
    <n v="1"/>
    <n v="2"/>
    <n v="4"/>
    <n v="4"/>
    <n v="10"/>
    <n v="11"/>
    <x v="1"/>
    <s v="Pass"/>
    <n v="0"/>
    <n v="0"/>
    <n v="0"/>
    <n v="0"/>
    <n v="0"/>
    <n v="0"/>
    <x v="0"/>
  </r>
  <r>
    <s v="MS"/>
    <s v="F"/>
    <n v="19"/>
    <s v="R"/>
    <s v="GT3"/>
    <s v="T"/>
    <n v="1"/>
    <n v="1"/>
    <s v="at_home"/>
    <s v="other"/>
    <s v="course"/>
    <s v="other"/>
    <n v="2"/>
    <n v="2"/>
    <n v="1"/>
    <s v="no"/>
    <s v="yes"/>
    <s v="no"/>
    <s v="no"/>
    <s v="yes"/>
    <s v="yes"/>
    <s v="yes"/>
    <s v="yes"/>
    <n v="4"/>
    <n v="3"/>
    <n v="3"/>
    <n v="1"/>
    <n v="1"/>
    <n v="3"/>
    <n v="4"/>
    <n v="7"/>
    <n v="8"/>
    <x v="9"/>
    <s v="Fail"/>
    <n v="0"/>
    <n v="60"/>
    <n v="0"/>
    <n v="40"/>
    <n v="0"/>
    <n v="32"/>
    <x v="1"/>
  </r>
  <r>
    <s v="MS"/>
    <s v="F"/>
    <n v="18"/>
    <s v="R"/>
    <s v="LE3"/>
    <s v="T"/>
    <n v="4"/>
    <n v="4"/>
    <s v="teacher"/>
    <s v="services"/>
    <s v="course"/>
    <s v="mother"/>
    <n v="1"/>
    <n v="2"/>
    <n v="0"/>
    <s v="no"/>
    <s v="no"/>
    <s v="no"/>
    <s v="yes"/>
    <s v="yes"/>
    <s v="yes"/>
    <s v="yes"/>
    <s v="no"/>
    <n v="5"/>
    <n v="4"/>
    <n v="3"/>
    <n v="3"/>
    <n v="4"/>
    <n v="2"/>
    <n v="1"/>
    <n v="13"/>
    <n v="14"/>
    <x v="2"/>
    <s v="Pass"/>
    <n v="0"/>
    <n v="0"/>
    <n v="0"/>
    <n v="40"/>
    <n v="0"/>
    <n v="8"/>
    <x v="0"/>
  </r>
  <r>
    <s v="MS"/>
    <s v="F"/>
    <n v="18"/>
    <s v="U"/>
    <s v="GT3"/>
    <s v="T"/>
    <n v="3"/>
    <n v="3"/>
    <s v="other"/>
    <s v="other"/>
    <s v="home"/>
    <s v="mother"/>
    <n v="1"/>
    <n v="2"/>
    <n v="0"/>
    <s v="no"/>
    <s v="no"/>
    <s v="no"/>
    <s v="no"/>
    <s v="yes"/>
    <s v="yes"/>
    <s v="yes"/>
    <s v="yes"/>
    <n v="4"/>
    <n v="1"/>
    <n v="3"/>
    <n v="1"/>
    <n v="2"/>
    <n v="1"/>
    <n v="1"/>
    <n v="16"/>
    <n v="16"/>
    <x v="8"/>
    <s v="Pass"/>
    <n v="0"/>
    <n v="0"/>
    <n v="0"/>
    <n v="40"/>
    <n v="0"/>
    <n v="8"/>
    <x v="0"/>
  </r>
  <r>
    <s v="MS"/>
    <s v="F"/>
    <n v="17"/>
    <s v="R"/>
    <s v="GT3"/>
    <s v="T"/>
    <n v="3"/>
    <n v="1"/>
    <s v="at_home"/>
    <s v="other"/>
    <s v="reputation"/>
    <s v="mother"/>
    <n v="1"/>
    <n v="2"/>
    <n v="0"/>
    <s v="no"/>
    <s v="yes"/>
    <s v="no"/>
    <s v="yes"/>
    <s v="no"/>
    <s v="yes"/>
    <s v="yes"/>
    <s v="no"/>
    <n v="4"/>
    <n v="5"/>
    <n v="4"/>
    <n v="2"/>
    <n v="3"/>
    <n v="1"/>
    <n v="10"/>
    <n v="8"/>
    <n v="9"/>
    <x v="9"/>
    <s v="Fail"/>
    <n v="0"/>
    <n v="0"/>
    <n v="0"/>
    <n v="40"/>
    <n v="0"/>
    <n v="8"/>
    <x v="0"/>
  </r>
  <r>
    <s v="MS"/>
    <s v="M"/>
    <n v="18"/>
    <s v="U"/>
    <s v="GT3"/>
    <s v="T"/>
    <n v="4"/>
    <n v="4"/>
    <s v="teacher"/>
    <s v="teacher"/>
    <s v="home"/>
    <s v="father"/>
    <n v="1"/>
    <n v="2"/>
    <n v="0"/>
    <s v="no"/>
    <s v="no"/>
    <s v="no"/>
    <s v="yes"/>
    <s v="no"/>
    <s v="yes"/>
    <s v="yes"/>
    <s v="no"/>
    <n v="3"/>
    <n v="2"/>
    <n v="4"/>
    <n v="1"/>
    <n v="4"/>
    <n v="2"/>
    <n v="4"/>
    <n v="17"/>
    <n v="18"/>
    <x v="16"/>
    <s v="Pass"/>
    <n v="0"/>
    <n v="0"/>
    <n v="0"/>
    <n v="40"/>
    <n v="0"/>
    <n v="8"/>
    <x v="0"/>
  </r>
  <r>
    <s v="MS"/>
    <s v="M"/>
    <n v="18"/>
    <s v="R"/>
    <s v="GT3"/>
    <s v="T"/>
    <n v="2"/>
    <n v="1"/>
    <s v="other"/>
    <s v="other"/>
    <s v="other"/>
    <s v="mother"/>
    <n v="2"/>
    <n v="1"/>
    <n v="0"/>
    <s v="no"/>
    <s v="no"/>
    <s v="no"/>
    <s v="yes"/>
    <s v="no"/>
    <s v="yes"/>
    <s v="yes"/>
    <s v="yes"/>
    <n v="4"/>
    <n v="4"/>
    <n v="3"/>
    <n v="1"/>
    <n v="3"/>
    <n v="5"/>
    <n v="0"/>
    <n v="7"/>
    <n v="7"/>
    <x v="13"/>
    <s v="Fail"/>
    <n v="1"/>
    <n v="0"/>
    <n v="0"/>
    <n v="70"/>
    <n v="50"/>
    <n v="19"/>
    <x v="0"/>
  </r>
  <r>
    <s v="MS"/>
    <s v="M"/>
    <n v="17"/>
    <s v="U"/>
    <s v="GT3"/>
    <s v="T"/>
    <n v="2"/>
    <n v="3"/>
    <s v="other"/>
    <s v="services"/>
    <s v="home"/>
    <s v="father"/>
    <n v="2"/>
    <n v="2"/>
    <n v="0"/>
    <s v="no"/>
    <s v="no"/>
    <s v="no"/>
    <s v="yes"/>
    <s v="yes"/>
    <s v="yes"/>
    <s v="yes"/>
    <s v="no"/>
    <n v="4"/>
    <n v="4"/>
    <n v="3"/>
    <n v="1"/>
    <n v="1"/>
    <n v="3"/>
    <n v="4"/>
    <n v="14"/>
    <n v="15"/>
    <x v="8"/>
    <s v="Pass"/>
    <n v="0"/>
    <n v="0"/>
    <n v="0"/>
    <n v="40"/>
    <n v="0"/>
    <n v="8"/>
    <x v="0"/>
  </r>
  <r>
    <s v="MS"/>
    <s v="M"/>
    <n v="19"/>
    <s v="R"/>
    <s v="GT3"/>
    <s v="T"/>
    <n v="1"/>
    <n v="1"/>
    <s v="other"/>
    <s v="services"/>
    <s v="other"/>
    <s v="mother"/>
    <n v="2"/>
    <n v="1"/>
    <n v="1"/>
    <s v="no"/>
    <s v="no"/>
    <s v="no"/>
    <s v="no"/>
    <s v="yes"/>
    <s v="yes"/>
    <s v="no"/>
    <s v="no"/>
    <n v="4"/>
    <n v="3"/>
    <n v="2"/>
    <n v="1"/>
    <n v="3"/>
    <n v="5"/>
    <n v="0"/>
    <n v="5"/>
    <n v="8"/>
    <x v="13"/>
    <s v="Fail"/>
    <n v="1"/>
    <n v="60"/>
    <n v="0"/>
    <n v="70"/>
    <n v="50"/>
    <n v="43"/>
    <x v="1"/>
  </r>
  <r>
    <s v="MS"/>
    <s v="M"/>
    <n v="18"/>
    <s v="R"/>
    <s v="GT3"/>
    <s v="T"/>
    <n v="4"/>
    <n v="2"/>
    <s v="other"/>
    <s v="other"/>
    <s v="home"/>
    <s v="father"/>
    <n v="2"/>
    <n v="1"/>
    <n v="1"/>
    <s v="no"/>
    <s v="no"/>
    <s v="yes"/>
    <s v="no"/>
    <s v="yes"/>
    <s v="yes"/>
    <s v="no"/>
    <s v="no"/>
    <n v="5"/>
    <n v="4"/>
    <n v="3"/>
    <n v="4"/>
    <n v="3"/>
    <n v="3"/>
    <n v="0"/>
    <n v="7"/>
    <n v="7"/>
    <x v="13"/>
    <s v="Fail"/>
    <n v="1"/>
    <n v="60"/>
    <n v="0"/>
    <n v="70"/>
    <n v="50"/>
    <n v="43"/>
    <x v="1"/>
  </r>
  <r>
    <s v="MS"/>
    <s v="F"/>
    <n v="18"/>
    <s v="R"/>
    <s v="GT3"/>
    <s v="T"/>
    <n v="2"/>
    <n v="2"/>
    <s v="at_home"/>
    <s v="other"/>
    <s v="other"/>
    <s v="mother"/>
    <n v="2"/>
    <n v="3"/>
    <n v="0"/>
    <s v="no"/>
    <s v="no"/>
    <s v="no"/>
    <s v="no"/>
    <s v="yes"/>
    <s v="yes"/>
    <s v="no"/>
    <s v="no"/>
    <n v="5"/>
    <n v="3"/>
    <n v="3"/>
    <n v="1"/>
    <n v="3"/>
    <n v="4"/>
    <n v="0"/>
    <n v="14"/>
    <n v="17"/>
    <x v="5"/>
    <s v="Pass"/>
    <n v="1"/>
    <n v="0"/>
    <n v="0"/>
    <n v="0"/>
    <n v="50"/>
    <n v="5"/>
    <x v="0"/>
  </r>
  <r>
    <s v="MS"/>
    <s v="F"/>
    <n v="17"/>
    <s v="U"/>
    <s v="GT3"/>
    <s v="T"/>
    <n v="4"/>
    <n v="3"/>
    <s v="teacher"/>
    <s v="other"/>
    <s v="other"/>
    <s v="mother"/>
    <n v="2"/>
    <n v="2"/>
    <n v="0"/>
    <s v="no"/>
    <s v="no"/>
    <s v="no"/>
    <s v="no"/>
    <s v="yes"/>
    <s v="yes"/>
    <s v="yes"/>
    <s v="no"/>
    <n v="5"/>
    <n v="5"/>
    <n v="4"/>
    <n v="1"/>
    <n v="1"/>
    <n v="1"/>
    <n v="0"/>
    <n v="6"/>
    <n v="9"/>
    <x v="0"/>
    <s v="Pass"/>
    <n v="0"/>
    <n v="0"/>
    <n v="0"/>
    <n v="40"/>
    <n v="0"/>
    <n v="8"/>
    <x v="0"/>
  </r>
  <r>
    <s v="MS"/>
    <s v="F"/>
    <n v="18"/>
    <s v="R"/>
    <s v="GT3"/>
    <s v="T"/>
    <n v="4"/>
    <n v="4"/>
    <s v="teacher"/>
    <s v="at_home"/>
    <s v="reputation"/>
    <s v="mother"/>
    <n v="3"/>
    <n v="1"/>
    <n v="0"/>
    <s v="no"/>
    <s v="yes"/>
    <s v="no"/>
    <s v="yes"/>
    <s v="yes"/>
    <s v="yes"/>
    <s v="yes"/>
    <s v="yes"/>
    <n v="4"/>
    <n v="4"/>
    <n v="3"/>
    <n v="2"/>
    <n v="2"/>
    <n v="5"/>
    <n v="4"/>
    <n v="7"/>
    <n v="9"/>
    <x v="7"/>
    <s v="Pass"/>
    <n v="0"/>
    <n v="0"/>
    <n v="0"/>
    <n v="70"/>
    <n v="0"/>
    <n v="14"/>
    <x v="0"/>
  </r>
  <r>
    <s v="MS"/>
    <s v="F"/>
    <n v="19"/>
    <s v="R"/>
    <s v="GT3"/>
    <s v="T"/>
    <n v="2"/>
    <n v="3"/>
    <s v="services"/>
    <s v="other"/>
    <s v="course"/>
    <s v="mother"/>
    <n v="1"/>
    <n v="3"/>
    <n v="1"/>
    <s v="no"/>
    <s v="no"/>
    <s v="no"/>
    <s v="yes"/>
    <s v="no"/>
    <s v="yes"/>
    <s v="yes"/>
    <s v="no"/>
    <n v="5"/>
    <n v="4"/>
    <n v="2"/>
    <n v="1"/>
    <n v="2"/>
    <n v="5"/>
    <n v="4"/>
    <n v="10"/>
    <n v="11"/>
    <x v="7"/>
    <s v="Pass"/>
    <n v="1"/>
    <n v="60"/>
    <n v="0"/>
    <n v="0"/>
    <n v="50"/>
    <n v="29"/>
    <x v="0"/>
  </r>
  <r>
    <s v="MS"/>
    <s v="F"/>
    <n v="18"/>
    <s v="U"/>
    <s v="LE3"/>
    <s v="T"/>
    <n v="3"/>
    <n v="1"/>
    <s v="teacher"/>
    <s v="services"/>
    <s v="course"/>
    <s v="mother"/>
    <n v="1"/>
    <n v="2"/>
    <n v="0"/>
    <s v="no"/>
    <s v="yes"/>
    <s v="no"/>
    <s v="no"/>
    <s v="yes"/>
    <s v="yes"/>
    <s v="yes"/>
    <s v="no"/>
    <n v="4"/>
    <n v="3"/>
    <n v="4"/>
    <n v="1"/>
    <n v="1"/>
    <n v="1"/>
    <n v="4"/>
    <n v="15"/>
    <n v="15"/>
    <x v="8"/>
    <s v="Pass"/>
    <n v="0"/>
    <n v="0"/>
    <n v="0"/>
    <n v="40"/>
    <n v="0"/>
    <n v="8"/>
    <x v="0"/>
  </r>
  <r>
    <s v="MS"/>
    <s v="F"/>
    <n v="18"/>
    <s v="U"/>
    <s v="GT3"/>
    <s v="T"/>
    <n v="1"/>
    <n v="1"/>
    <s v="other"/>
    <s v="other"/>
    <s v="course"/>
    <s v="mother"/>
    <n v="2"/>
    <n v="2"/>
    <n v="0"/>
    <s v="no"/>
    <s v="no"/>
    <s v="no"/>
    <s v="yes"/>
    <s v="yes"/>
    <s v="yes"/>
    <s v="no"/>
    <s v="no"/>
    <n v="1"/>
    <n v="1"/>
    <n v="1"/>
    <n v="1"/>
    <n v="1"/>
    <n v="5"/>
    <n v="6"/>
    <n v="11"/>
    <n v="12"/>
    <x v="9"/>
    <s v="Fail"/>
    <n v="1"/>
    <n v="0"/>
    <n v="0"/>
    <n v="40"/>
    <n v="50"/>
    <n v="13"/>
    <x v="0"/>
  </r>
  <r>
    <s v="MS"/>
    <s v="M"/>
    <n v="17"/>
    <s v="U"/>
    <s v="LE3"/>
    <s v="T"/>
    <n v="3"/>
    <n v="1"/>
    <s v="services"/>
    <s v="services"/>
    <s v="course"/>
    <s v="mother"/>
    <n v="2"/>
    <n v="1"/>
    <n v="0"/>
    <s v="no"/>
    <s v="no"/>
    <s v="no"/>
    <s v="no"/>
    <s v="no"/>
    <s v="yes"/>
    <s v="yes"/>
    <s v="no"/>
    <n v="2"/>
    <n v="4"/>
    <n v="5"/>
    <n v="3"/>
    <n v="4"/>
    <n v="2"/>
    <n v="6"/>
    <n v="10"/>
    <n v="10"/>
    <x v="7"/>
    <s v="Pass"/>
    <n v="0"/>
    <n v="0"/>
    <n v="0"/>
    <n v="70"/>
    <n v="0"/>
    <n v="14"/>
    <x v="0"/>
  </r>
  <r>
    <s v="MS"/>
    <s v="M"/>
    <n v="18"/>
    <s v="R"/>
    <s v="LE3"/>
    <s v="T"/>
    <n v="3"/>
    <n v="2"/>
    <s v="services"/>
    <s v="other"/>
    <s v="course"/>
    <s v="mother"/>
    <n v="3"/>
    <n v="1"/>
    <n v="0"/>
    <s v="no"/>
    <s v="no"/>
    <s v="no"/>
    <s v="no"/>
    <s v="no"/>
    <s v="yes"/>
    <s v="yes"/>
    <s v="no"/>
    <n v="4"/>
    <n v="4"/>
    <n v="1"/>
    <n v="3"/>
    <n v="4"/>
    <n v="5"/>
    <n v="4"/>
    <n v="10"/>
    <n v="11"/>
    <x v="0"/>
    <s v="Pass"/>
    <n v="0"/>
    <n v="0"/>
    <n v="0"/>
    <n v="70"/>
    <n v="0"/>
    <n v="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B5:C9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</pivotFields>
  <rowFields count="1">
    <field x="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iskCategory" fld="40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40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4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High Risk Student List">
  <location ref="B12:C19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3"/>
        <item x="14"/>
        <item x="15"/>
        <item x="12"/>
        <item x="6"/>
        <item x="10"/>
        <item x="9"/>
        <item x="7"/>
        <item x="0"/>
        <item x="1"/>
        <item x="3"/>
        <item x="2"/>
        <item x="5"/>
        <item x="8"/>
        <item x="4"/>
        <item x="11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h="1" x="0"/>
        <item h="1" x="1"/>
        <item t="default"/>
      </items>
    </pivotField>
  </pivotFields>
  <rowFields count="2">
    <field x="40"/>
    <field x="32"/>
  </rowFields>
  <rowItems count="7">
    <i>
      <x/>
    </i>
    <i r="1">
      <x v="2"/>
    </i>
    <i r="1">
      <x v="5"/>
    </i>
    <i r="1">
      <x v="7"/>
    </i>
    <i r="1">
      <x v="8"/>
    </i>
    <i r="1">
      <x v="13"/>
    </i>
    <i t="grand">
      <x/>
    </i>
  </rowItems>
  <colItems count="1">
    <i/>
  </colItems>
  <dataFields count="1">
    <dataField name="Average of RiskIndex" fld="39" subtotal="average" baseField="40" baseItem="0"/>
  </dataFields>
  <formats count="8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4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40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32" count="5">
            <x v="2"/>
            <x v="5"/>
            <x v="7"/>
            <x v="8"/>
            <x v="13"/>
          </reference>
          <reference field="40" count="0" selected="0"/>
        </references>
      </pivotArea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Data" displayName="StudentData" ref="A1:AQ650" totalsRowShown="0">
  <autoFilter ref="A1:AQ650" xr:uid="{00000000-0009-0000-0100-000001000000}"/>
  <tableColumns count="43">
    <tableColumn id="1" xr3:uid="{00000000-0010-0000-0000-000001000000}" name="school"/>
    <tableColumn id="2" xr3:uid="{00000000-0010-0000-0000-000002000000}" name="sex"/>
    <tableColumn id="3" xr3:uid="{00000000-0010-0000-0000-000003000000}" name="age"/>
    <tableColumn id="4" xr3:uid="{00000000-0010-0000-0000-000004000000}" name="address"/>
    <tableColumn id="5" xr3:uid="{00000000-0010-0000-0000-000005000000}" name="famsize"/>
    <tableColumn id="6" xr3:uid="{00000000-0010-0000-0000-000006000000}" name="Pstatus"/>
    <tableColumn id="7" xr3:uid="{00000000-0010-0000-0000-000007000000}" name="Medu"/>
    <tableColumn id="8" xr3:uid="{00000000-0010-0000-0000-000008000000}" name="Fedu"/>
    <tableColumn id="9" xr3:uid="{00000000-0010-0000-0000-000009000000}" name="Mjob"/>
    <tableColumn id="10" xr3:uid="{00000000-0010-0000-0000-00000A000000}" name="Fjob"/>
    <tableColumn id="11" xr3:uid="{00000000-0010-0000-0000-00000B000000}" name="reason"/>
    <tableColumn id="12" xr3:uid="{00000000-0010-0000-0000-00000C000000}" name="guardian"/>
    <tableColumn id="13" xr3:uid="{00000000-0010-0000-0000-00000D000000}" name="traveltime"/>
    <tableColumn id="14" xr3:uid="{00000000-0010-0000-0000-00000E000000}" name="studytime"/>
    <tableColumn id="15" xr3:uid="{00000000-0010-0000-0000-00000F000000}" name="failures"/>
    <tableColumn id="16" xr3:uid="{00000000-0010-0000-0000-000010000000}" name="schoolsup"/>
    <tableColumn id="17" xr3:uid="{00000000-0010-0000-0000-000011000000}" name="famsup"/>
    <tableColumn id="18" xr3:uid="{00000000-0010-0000-0000-000012000000}" name="paid"/>
    <tableColumn id="19" xr3:uid="{00000000-0010-0000-0000-000013000000}" name="activities"/>
    <tableColumn id="20" xr3:uid="{00000000-0010-0000-0000-000014000000}" name="nursery"/>
    <tableColumn id="21" xr3:uid="{00000000-0010-0000-0000-000015000000}" name="higher"/>
    <tableColumn id="22" xr3:uid="{00000000-0010-0000-0000-000016000000}" name="internet"/>
    <tableColumn id="23" xr3:uid="{00000000-0010-0000-0000-000017000000}" name="romantic"/>
    <tableColumn id="24" xr3:uid="{00000000-0010-0000-0000-000018000000}" name="famrel"/>
    <tableColumn id="25" xr3:uid="{00000000-0010-0000-0000-000019000000}" name="freetime"/>
    <tableColumn id="26" xr3:uid="{00000000-0010-0000-0000-00001A000000}" name="goout"/>
    <tableColumn id="27" xr3:uid="{00000000-0010-0000-0000-00001B000000}" name="Dalc"/>
    <tableColumn id="28" xr3:uid="{00000000-0010-0000-0000-00001C000000}" name="Walc"/>
    <tableColumn id="29" xr3:uid="{00000000-0010-0000-0000-00001D000000}" name="health"/>
    <tableColumn id="30" xr3:uid="{00000000-0010-0000-0000-00001E000000}" name="absences"/>
    <tableColumn id="31" xr3:uid="{00000000-0010-0000-0000-00001F000000}" name="G1"/>
    <tableColumn id="32" xr3:uid="{00000000-0010-0000-0000-000020000000}" name="G2"/>
    <tableColumn id="33" xr3:uid="{00000000-0010-0000-0000-000021000000}" name="G3"/>
    <tableColumn id="34" xr3:uid="{00000000-0010-0000-0000-000022000000}" name="Result" dataDxfId="24">
      <calculatedColumnFormula>IF(StudentData[[#This Row],[G3]]&gt;=10,"Pass","Fail")</calculatedColumnFormula>
    </tableColumn>
    <tableColumn id="35" xr3:uid="{00000000-0010-0000-0000-000023000000}" name="GradeDrop" dataDxfId="23">
      <calculatedColumnFormula>IF(StudentData[[#This Row],[G3]]&lt;StudentData[[#This Row],[G2]],1,0)</calculatedColumnFormula>
    </tableColumn>
    <tableColumn id="36" xr3:uid="{00000000-0010-0000-0000-000024000000}" name="FailureScore" dataDxfId="22">
      <calculatedColumnFormula>IF(StudentData[[#This Row],[failures]]&gt;=2,100,IF(StudentData[[#This Row],[failures]]=1,60,0))</calculatedColumnFormula>
    </tableColumn>
    <tableColumn id="37" xr3:uid="{00000000-0010-0000-0000-000025000000}" name="AbsenceScore" dataDxfId="21">
      <calculatedColumnFormula>IF(StudentData[[#This Row],[absences]]&gt;15,80,IF(StudentData[[#This Row],[absences]]&gt;10,50,0))</calculatedColumnFormula>
    </tableColumn>
    <tableColumn id="38" xr3:uid="{00000000-0010-0000-0000-000026000000}" name="StudyRisk" dataDxfId="20">
      <calculatedColumnFormula>IF(StudentData[[#This Row],[studytime]]=1,70,IF(StudentData[[#This Row],[studytime]]=2,40,0))</calculatedColumnFormula>
    </tableColumn>
    <tableColumn id="39" xr3:uid="{00000000-0010-0000-0000-000027000000}" name="TrendRisk" dataDxfId="19">
      <calculatedColumnFormula>IF(StudentData[[#This Row],[GradeDrop]]=1,50,0)</calculatedColumnFormula>
    </tableColumn>
    <tableColumn id="40" xr3:uid="{00000000-0010-0000-0000-000028000000}" name="RiskIndex" dataDxfId="18">
      <calculatedColumnFormula>0.4*StudentData[[#This Row],[FailureScore]]+0.3*StudentData[[#This Row],[AbsenceScore]]+0.2*StudentData[[#This Row],[StudyRisk]]+0.1*StudentData[[#This Row],[TrendRisk]]</calculatedColumnFormula>
    </tableColumn>
    <tableColumn id="41" xr3:uid="{00000000-0010-0000-0000-000029000000}" name="RiskCategory" dataDxfId="17">
      <calculatedColumnFormula>IF(StudentData[[#This Row],[RiskIndex]]&lt;=30,"Low",IF(StudentData[[#This Row],[RiskIndex]]&lt;=60,"Medium","High"))</calculatedColumnFormula>
    </tableColumn>
    <tableColumn id="42" xr3:uid="{00000000-0010-0000-0000-00002A000000}" name="ProjectedGrade" dataDxfId="16">
      <calculatedColumnFormula>StudentData[[#This Row],[G3]]+('Intervention Simulator'!$C$2*1.5)</calculatedColumnFormula>
    </tableColumn>
    <tableColumn id="43" xr3:uid="{00000000-0010-0000-0000-00002B000000}" name="ProjectedResult" dataDxfId="15">
      <calculatedColumnFormula>IF(StudentData[[#This Row],[ProjectedGrade]]&gt;=10,"Pass","Fail")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50"/>
  <sheetViews>
    <sheetView topLeftCell="AD1" workbookViewId="0">
      <selection activeCell="AQ3" sqref="AQ3"/>
    </sheetView>
  </sheetViews>
  <sheetFormatPr defaultRowHeight="14.4" x14ac:dyDescent="0.3"/>
  <cols>
    <col min="1" max="1" width="8.21875" customWidth="1"/>
    <col min="2" max="2" width="5.5546875" customWidth="1"/>
    <col min="3" max="3" width="5.77734375" customWidth="1"/>
    <col min="4" max="4" width="9.33203125" customWidth="1"/>
    <col min="5" max="5" width="9.21875" customWidth="1"/>
    <col min="6" max="6" width="9.109375" customWidth="1"/>
    <col min="7" max="7" width="7.77734375" customWidth="1"/>
    <col min="8" max="8" width="6.88671875" customWidth="1"/>
    <col min="12" max="12" width="10.21875" customWidth="1"/>
    <col min="13" max="13" width="11.44140625" customWidth="1"/>
    <col min="14" max="14" width="11.21875" customWidth="1"/>
    <col min="15" max="15" width="9" customWidth="1"/>
    <col min="16" max="16" width="11.21875" customWidth="1"/>
    <col min="17" max="17" width="9.109375" customWidth="1"/>
    <col min="19" max="19" width="10.21875" customWidth="1"/>
    <col min="20" max="20" width="9.21875" customWidth="1"/>
    <col min="22" max="22" width="9.6640625" customWidth="1"/>
    <col min="23" max="23" width="10.33203125" customWidth="1"/>
    <col min="24" max="24" width="8.21875" customWidth="1"/>
    <col min="25" max="25" width="10" customWidth="1"/>
    <col min="26" max="26" width="7.77734375" customWidth="1"/>
    <col min="27" max="27" width="6.33203125" customWidth="1"/>
    <col min="28" max="28" width="6.88671875" customWidth="1"/>
    <col min="29" max="29" width="8.21875" customWidth="1"/>
    <col min="30" max="30" width="10.44140625" customWidth="1"/>
    <col min="31" max="33" width="5.109375" customWidth="1"/>
    <col min="35" max="35" width="9.33203125" customWidth="1"/>
    <col min="36" max="36" width="10.77734375" customWidth="1"/>
    <col min="42" max="42" width="11.1093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93</v>
      </c>
      <c r="AQ1" t="s">
        <v>94</v>
      </c>
    </row>
    <row r="2" spans="1:4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  <c r="AH2" t="str">
        <f>IF(StudentData[[#This Row],[G3]]&gt;=10,"Pass","Fail")</f>
        <v>Pass</v>
      </c>
      <c r="AI2">
        <f>IF(StudentData[[#This Row],[G3]]&lt;StudentData[[#This Row],[G2]],1,0)</f>
        <v>0</v>
      </c>
      <c r="AJ2">
        <f>IF(StudentData[[#This Row],[failures]]&gt;=2,100,IF(StudentData[[#This Row],[failures]]=1,60,0))</f>
        <v>0</v>
      </c>
      <c r="AK2">
        <f>IF(StudentData[[#This Row],[absences]]&gt;15,80,IF(StudentData[[#This Row],[absences]]&gt;10,50,0))</f>
        <v>0</v>
      </c>
      <c r="AL2">
        <f>IF(StudentData[[#This Row],[studytime]]=1,70,IF(StudentData[[#This Row],[studytime]]=2,40,0))</f>
        <v>40</v>
      </c>
      <c r="AM2">
        <f>IF(StudentData[[#This Row],[GradeDrop]]=1,50,0)</f>
        <v>0</v>
      </c>
      <c r="AN2">
        <f>0.4*StudentData[[#This Row],[FailureScore]]+0.3*StudentData[[#This Row],[AbsenceScore]]+0.2*StudentData[[#This Row],[StudyRisk]]+0.1*StudentData[[#This Row],[TrendRisk]]</f>
        <v>8</v>
      </c>
      <c r="AO2" t="str">
        <f>IF(StudentData[[#This Row],[RiskIndex]]&lt;=30,"Low",IF(StudentData[[#This Row],[RiskIndex]]&lt;=60,"Medium","High"))</f>
        <v>Low</v>
      </c>
      <c r="AP2">
        <f>StudentData[[#This Row],[G3]]+('Intervention Simulator'!$C$2*1.5)</f>
        <v>11</v>
      </c>
      <c r="AQ2" t="str">
        <f>IF(StudentData[[#This Row],[ProjectedGrade]]&gt;=10,"Pass","Fail")</f>
        <v>Pass</v>
      </c>
    </row>
    <row r="3" spans="1:4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  <c r="AH3" t="str">
        <f>IF(StudentData[[#This Row],[G3]]&gt;=10,"Pass","Fail")</f>
        <v>Pass</v>
      </c>
      <c r="AI3">
        <f>IF(StudentData[[#This Row],[G3]]&lt;StudentData[[#This Row],[G2]],1,0)</f>
        <v>0</v>
      </c>
      <c r="AJ3">
        <f>IF(StudentData[[#This Row],[failures]]&gt;=2,100,IF(StudentData[[#This Row],[failures]]=1,60,0))</f>
        <v>0</v>
      </c>
      <c r="AK3">
        <f>IF(StudentData[[#This Row],[absences]]&gt;15,80,IF(StudentData[[#This Row],[absences]]&gt;10,50,0))</f>
        <v>0</v>
      </c>
      <c r="AL3">
        <f>IF(StudentData[[#This Row],[studytime]]=1,70,IF(StudentData[[#This Row],[studytime]]=2,40,0))</f>
        <v>40</v>
      </c>
      <c r="AM3">
        <f>IF(StudentData[[#This Row],[GradeDrop]]=1,50,0)</f>
        <v>0</v>
      </c>
      <c r="AN3">
        <f>0.4*StudentData[[#This Row],[FailureScore]]+0.3*StudentData[[#This Row],[AbsenceScore]]+0.2*StudentData[[#This Row],[StudyRisk]]+0.1*StudentData[[#This Row],[TrendRisk]]</f>
        <v>8</v>
      </c>
      <c r="AO3" t="str">
        <f>IF(StudentData[[#This Row],[RiskIndex]]&lt;=30,"Low",IF(StudentData[[#This Row],[RiskIndex]]&lt;=60,"Medium","High"))</f>
        <v>Low</v>
      </c>
      <c r="AP3">
        <f>StudentData[[#This Row],[G3]]+('Intervention Simulator'!$C$2*1.5)</f>
        <v>11</v>
      </c>
      <c r="AQ3" t="str">
        <f>IF(StudentData[[#This Row],[ProjectedGrade]]&gt;=10,"Pass","Fail")</f>
        <v>Pass</v>
      </c>
    </row>
    <row r="4" spans="1:4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  <c r="AH4" t="str">
        <f>IF(StudentData[[#This Row],[G3]]&gt;=10,"Pass","Fail")</f>
        <v>Pass</v>
      </c>
      <c r="AI4">
        <f>IF(StudentData[[#This Row],[G3]]&lt;StudentData[[#This Row],[G2]],1,0)</f>
        <v>1</v>
      </c>
      <c r="AJ4">
        <f>IF(StudentData[[#This Row],[failures]]&gt;=2,100,IF(StudentData[[#This Row],[failures]]=1,60,0))</f>
        <v>0</v>
      </c>
      <c r="AK4">
        <f>IF(StudentData[[#This Row],[absences]]&gt;15,80,IF(StudentData[[#This Row],[absences]]&gt;10,50,0))</f>
        <v>0</v>
      </c>
      <c r="AL4">
        <f>IF(StudentData[[#This Row],[studytime]]=1,70,IF(StudentData[[#This Row],[studytime]]=2,40,0))</f>
        <v>40</v>
      </c>
      <c r="AM4">
        <f>IF(StudentData[[#This Row],[GradeDrop]]=1,50,0)</f>
        <v>50</v>
      </c>
      <c r="AN4">
        <f>0.4*StudentData[[#This Row],[FailureScore]]+0.3*StudentData[[#This Row],[AbsenceScore]]+0.2*StudentData[[#This Row],[StudyRisk]]+0.1*StudentData[[#This Row],[TrendRisk]]</f>
        <v>13</v>
      </c>
      <c r="AO4" t="str">
        <f>IF(StudentData[[#This Row],[RiskIndex]]&lt;=30,"Low",IF(StudentData[[#This Row],[RiskIndex]]&lt;=60,"Medium","High"))</f>
        <v>Low</v>
      </c>
      <c r="AP4">
        <f>StudentData[[#This Row],[G3]]+('Intervention Simulator'!$C$2*1.5)</f>
        <v>12</v>
      </c>
      <c r="AQ4" t="str">
        <f>IF(StudentData[[#This Row],[ProjectedGrade]]&gt;=10,"Pass","Fail")</f>
        <v>Pass</v>
      </c>
    </row>
    <row r="5" spans="1:4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  <c r="AH5" t="str">
        <f>IF(StudentData[[#This Row],[G3]]&gt;=10,"Pass","Fail")</f>
        <v>Pass</v>
      </c>
      <c r="AI5">
        <f>IF(StudentData[[#This Row],[G3]]&lt;StudentData[[#This Row],[G2]],1,0)</f>
        <v>0</v>
      </c>
      <c r="AJ5">
        <f>IF(StudentData[[#This Row],[failures]]&gt;=2,100,IF(StudentData[[#This Row],[failures]]=1,60,0))</f>
        <v>0</v>
      </c>
      <c r="AK5">
        <f>IF(StudentData[[#This Row],[absences]]&gt;15,80,IF(StudentData[[#This Row],[absences]]&gt;10,50,0))</f>
        <v>0</v>
      </c>
      <c r="AL5">
        <f>IF(StudentData[[#This Row],[studytime]]=1,70,IF(StudentData[[#This Row],[studytime]]=2,40,0))</f>
        <v>0</v>
      </c>
      <c r="AM5">
        <f>IF(StudentData[[#This Row],[GradeDrop]]=1,50,0)</f>
        <v>0</v>
      </c>
      <c r="AN5">
        <f>0.4*StudentData[[#This Row],[FailureScore]]+0.3*StudentData[[#This Row],[AbsenceScore]]+0.2*StudentData[[#This Row],[StudyRisk]]+0.1*StudentData[[#This Row],[TrendRisk]]</f>
        <v>0</v>
      </c>
      <c r="AO5" t="str">
        <f>IF(StudentData[[#This Row],[RiskIndex]]&lt;=30,"Low",IF(StudentData[[#This Row],[RiskIndex]]&lt;=60,"Medium","High"))</f>
        <v>Low</v>
      </c>
      <c r="AP5">
        <f>StudentData[[#This Row],[G3]]+('Intervention Simulator'!$C$2*1.5)</f>
        <v>14</v>
      </c>
      <c r="AQ5" t="str">
        <f>IF(StudentData[[#This Row],[ProjectedGrade]]&gt;=10,"Pass","Fail")</f>
        <v>Pass</v>
      </c>
    </row>
    <row r="6" spans="1:4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  <c r="AH6" t="str">
        <f>IF(StudentData[[#This Row],[G3]]&gt;=10,"Pass","Fail")</f>
        <v>Pass</v>
      </c>
      <c r="AI6">
        <f>IF(StudentData[[#This Row],[G3]]&lt;StudentData[[#This Row],[G2]],1,0)</f>
        <v>0</v>
      </c>
      <c r="AJ6">
        <f>IF(StudentData[[#This Row],[failures]]&gt;=2,100,IF(StudentData[[#This Row],[failures]]=1,60,0))</f>
        <v>0</v>
      </c>
      <c r="AK6">
        <f>IF(StudentData[[#This Row],[absences]]&gt;15,80,IF(StudentData[[#This Row],[absences]]&gt;10,50,0))</f>
        <v>0</v>
      </c>
      <c r="AL6">
        <f>IF(StudentData[[#This Row],[studytime]]=1,70,IF(StudentData[[#This Row],[studytime]]=2,40,0))</f>
        <v>40</v>
      </c>
      <c r="AM6">
        <f>IF(StudentData[[#This Row],[GradeDrop]]=1,50,0)</f>
        <v>0</v>
      </c>
      <c r="AN6">
        <f>0.4*StudentData[[#This Row],[FailureScore]]+0.3*StudentData[[#This Row],[AbsenceScore]]+0.2*StudentData[[#This Row],[StudyRisk]]+0.1*StudentData[[#This Row],[TrendRisk]]</f>
        <v>8</v>
      </c>
      <c r="AO6" t="str">
        <f>IF(StudentData[[#This Row],[RiskIndex]]&lt;=30,"Low",IF(StudentData[[#This Row],[RiskIndex]]&lt;=60,"Medium","High"))</f>
        <v>Low</v>
      </c>
      <c r="AP6">
        <f>StudentData[[#This Row],[G3]]+('Intervention Simulator'!$C$2*1.5)</f>
        <v>13</v>
      </c>
      <c r="AQ6" t="str">
        <f>IF(StudentData[[#This Row],[ProjectedGrade]]&gt;=10,"Pass","Fail")</f>
        <v>Pass</v>
      </c>
    </row>
    <row r="7" spans="1:4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  <c r="AH7" t="str">
        <f>IF(StudentData[[#This Row],[G3]]&gt;=10,"Pass","Fail")</f>
        <v>Pass</v>
      </c>
      <c r="AI7">
        <f>IF(StudentData[[#This Row],[G3]]&lt;StudentData[[#This Row],[G2]],1,0)</f>
        <v>0</v>
      </c>
      <c r="AJ7">
        <f>IF(StudentData[[#This Row],[failures]]&gt;=2,100,IF(StudentData[[#This Row],[failures]]=1,60,0))</f>
        <v>0</v>
      </c>
      <c r="AK7">
        <f>IF(StudentData[[#This Row],[absences]]&gt;15,80,IF(StudentData[[#This Row],[absences]]&gt;10,50,0))</f>
        <v>0</v>
      </c>
      <c r="AL7">
        <f>IF(StudentData[[#This Row],[studytime]]=1,70,IF(StudentData[[#This Row],[studytime]]=2,40,0))</f>
        <v>40</v>
      </c>
      <c r="AM7">
        <f>IF(StudentData[[#This Row],[GradeDrop]]=1,50,0)</f>
        <v>0</v>
      </c>
      <c r="AN7">
        <f>0.4*StudentData[[#This Row],[FailureScore]]+0.3*StudentData[[#This Row],[AbsenceScore]]+0.2*StudentData[[#This Row],[StudyRisk]]+0.1*StudentData[[#This Row],[TrendRisk]]</f>
        <v>8</v>
      </c>
      <c r="AO7" t="str">
        <f>IF(StudentData[[#This Row],[RiskIndex]]&lt;=30,"Low",IF(StudentData[[#This Row],[RiskIndex]]&lt;=60,"Medium","High"))</f>
        <v>Low</v>
      </c>
      <c r="AP7">
        <f>StudentData[[#This Row],[G3]]+('Intervention Simulator'!$C$2*1.5)</f>
        <v>13</v>
      </c>
      <c r="AQ7" t="str">
        <f>IF(StudentData[[#This Row],[ProjectedGrade]]&gt;=10,"Pass","Fail")</f>
        <v>Pass</v>
      </c>
    </row>
    <row r="8" spans="1:4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  <c r="AH8" t="str">
        <f>IF(StudentData[[#This Row],[G3]]&gt;=10,"Pass","Fail")</f>
        <v>Pass</v>
      </c>
      <c r="AI8">
        <f>IF(StudentData[[#This Row],[G3]]&lt;StudentData[[#This Row],[G2]],1,0)</f>
        <v>0</v>
      </c>
      <c r="AJ8">
        <f>IF(StudentData[[#This Row],[failures]]&gt;=2,100,IF(StudentData[[#This Row],[failures]]=1,60,0))</f>
        <v>0</v>
      </c>
      <c r="AK8">
        <f>IF(StudentData[[#This Row],[absences]]&gt;15,80,IF(StudentData[[#This Row],[absences]]&gt;10,50,0))</f>
        <v>0</v>
      </c>
      <c r="AL8">
        <f>IF(StudentData[[#This Row],[studytime]]=1,70,IF(StudentData[[#This Row],[studytime]]=2,40,0))</f>
        <v>40</v>
      </c>
      <c r="AM8">
        <f>IF(StudentData[[#This Row],[GradeDrop]]=1,50,0)</f>
        <v>0</v>
      </c>
      <c r="AN8">
        <f>0.4*StudentData[[#This Row],[FailureScore]]+0.3*StudentData[[#This Row],[AbsenceScore]]+0.2*StudentData[[#This Row],[StudyRisk]]+0.1*StudentData[[#This Row],[TrendRisk]]</f>
        <v>8</v>
      </c>
      <c r="AO8" t="str">
        <f>IF(StudentData[[#This Row],[RiskIndex]]&lt;=30,"Low",IF(StudentData[[#This Row],[RiskIndex]]&lt;=60,"Medium","High"))</f>
        <v>Low</v>
      </c>
      <c r="AP8">
        <f>StudentData[[#This Row],[G3]]+('Intervention Simulator'!$C$2*1.5)</f>
        <v>13</v>
      </c>
      <c r="AQ8" t="str">
        <f>IF(StudentData[[#This Row],[ProjectedGrade]]&gt;=10,"Pass","Fail")</f>
        <v>Pass</v>
      </c>
    </row>
    <row r="9" spans="1:4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  <c r="AH9" t="str">
        <f>IF(StudentData[[#This Row],[G3]]&gt;=10,"Pass","Fail")</f>
        <v>Pass</v>
      </c>
      <c r="AI9">
        <f>IF(StudentData[[#This Row],[G3]]&lt;StudentData[[#This Row],[G2]],1,0)</f>
        <v>0</v>
      </c>
      <c r="AJ9">
        <f>IF(StudentData[[#This Row],[failures]]&gt;=2,100,IF(StudentData[[#This Row],[failures]]=1,60,0))</f>
        <v>0</v>
      </c>
      <c r="AK9">
        <f>IF(StudentData[[#This Row],[absences]]&gt;15,80,IF(StudentData[[#This Row],[absences]]&gt;10,50,0))</f>
        <v>0</v>
      </c>
      <c r="AL9">
        <f>IF(StudentData[[#This Row],[studytime]]=1,70,IF(StudentData[[#This Row],[studytime]]=2,40,0))</f>
        <v>40</v>
      </c>
      <c r="AM9">
        <f>IF(StudentData[[#This Row],[GradeDrop]]=1,50,0)</f>
        <v>0</v>
      </c>
      <c r="AN9">
        <f>0.4*StudentData[[#This Row],[FailureScore]]+0.3*StudentData[[#This Row],[AbsenceScore]]+0.2*StudentData[[#This Row],[StudyRisk]]+0.1*StudentData[[#This Row],[TrendRisk]]</f>
        <v>8</v>
      </c>
      <c r="AO9" t="str">
        <f>IF(StudentData[[#This Row],[RiskIndex]]&lt;=30,"Low",IF(StudentData[[#This Row],[RiskIndex]]&lt;=60,"Medium","High"))</f>
        <v>Low</v>
      </c>
      <c r="AP9">
        <f>StudentData[[#This Row],[G3]]+('Intervention Simulator'!$C$2*1.5)</f>
        <v>13</v>
      </c>
      <c r="AQ9" t="str">
        <f>IF(StudentData[[#This Row],[ProjectedGrade]]&gt;=10,"Pass","Fail")</f>
        <v>Pass</v>
      </c>
    </row>
    <row r="10" spans="1:4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  <c r="AH10" t="str">
        <f>IF(StudentData[[#This Row],[G3]]&gt;=10,"Pass","Fail")</f>
        <v>Pass</v>
      </c>
      <c r="AI10">
        <f>IF(StudentData[[#This Row],[G3]]&lt;StudentData[[#This Row],[G2]],1,0)</f>
        <v>0</v>
      </c>
      <c r="AJ10">
        <f>IF(StudentData[[#This Row],[failures]]&gt;=2,100,IF(StudentData[[#This Row],[failures]]=1,60,0))</f>
        <v>0</v>
      </c>
      <c r="AK10">
        <f>IF(StudentData[[#This Row],[absences]]&gt;15,80,IF(StudentData[[#This Row],[absences]]&gt;10,50,0))</f>
        <v>0</v>
      </c>
      <c r="AL10">
        <f>IF(StudentData[[#This Row],[studytime]]=1,70,IF(StudentData[[#This Row],[studytime]]=2,40,0))</f>
        <v>40</v>
      </c>
      <c r="AM10">
        <f>IF(StudentData[[#This Row],[GradeDrop]]=1,50,0)</f>
        <v>0</v>
      </c>
      <c r="AN10">
        <f>0.4*StudentData[[#This Row],[FailureScore]]+0.3*StudentData[[#This Row],[AbsenceScore]]+0.2*StudentData[[#This Row],[StudyRisk]]+0.1*StudentData[[#This Row],[TrendRisk]]</f>
        <v>8</v>
      </c>
      <c r="AO10" t="str">
        <f>IF(StudentData[[#This Row],[RiskIndex]]&lt;=30,"Low",IF(StudentData[[#This Row],[RiskIndex]]&lt;=60,"Medium","High"))</f>
        <v>Low</v>
      </c>
      <c r="AP10">
        <f>StudentData[[#This Row],[G3]]+('Intervention Simulator'!$C$2*1.5)</f>
        <v>17</v>
      </c>
      <c r="AQ10" t="str">
        <f>IF(StudentData[[#This Row],[ProjectedGrade]]&gt;=10,"Pass","Fail")</f>
        <v>Pass</v>
      </c>
    </row>
    <row r="11" spans="1:4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  <c r="AH11" t="str">
        <f>IF(StudentData[[#This Row],[G3]]&gt;=10,"Pass","Fail")</f>
        <v>Pass</v>
      </c>
      <c r="AI11">
        <f>IF(StudentData[[#This Row],[G3]]&lt;StudentData[[#This Row],[G2]],1,0)</f>
        <v>0</v>
      </c>
      <c r="AJ11">
        <f>IF(StudentData[[#This Row],[failures]]&gt;=2,100,IF(StudentData[[#This Row],[failures]]=1,60,0))</f>
        <v>0</v>
      </c>
      <c r="AK11">
        <f>IF(StudentData[[#This Row],[absences]]&gt;15,80,IF(StudentData[[#This Row],[absences]]&gt;10,50,0))</f>
        <v>0</v>
      </c>
      <c r="AL11">
        <f>IF(StudentData[[#This Row],[studytime]]=1,70,IF(StudentData[[#This Row],[studytime]]=2,40,0))</f>
        <v>40</v>
      </c>
      <c r="AM11">
        <f>IF(StudentData[[#This Row],[GradeDrop]]=1,50,0)</f>
        <v>0</v>
      </c>
      <c r="AN11">
        <f>0.4*StudentData[[#This Row],[FailureScore]]+0.3*StudentData[[#This Row],[AbsenceScore]]+0.2*StudentData[[#This Row],[StudyRisk]]+0.1*StudentData[[#This Row],[TrendRisk]]</f>
        <v>8</v>
      </c>
      <c r="AO11" t="str">
        <f>IF(StudentData[[#This Row],[RiskIndex]]&lt;=30,"Low",IF(StudentData[[#This Row],[RiskIndex]]&lt;=60,"Medium","High"))</f>
        <v>Low</v>
      </c>
      <c r="AP11">
        <f>StudentData[[#This Row],[G3]]+('Intervention Simulator'!$C$2*1.5)</f>
        <v>13</v>
      </c>
      <c r="AQ11" t="str">
        <f>IF(StudentData[[#This Row],[ProjectedGrade]]&gt;=10,"Pass","Fail")</f>
        <v>Pass</v>
      </c>
    </row>
    <row r="12" spans="1:4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  <c r="AH12" t="str">
        <f>IF(StudentData[[#This Row],[G3]]&gt;=10,"Pass","Fail")</f>
        <v>Pass</v>
      </c>
      <c r="AI12">
        <f>IF(StudentData[[#This Row],[G3]]&lt;StudentData[[#This Row],[G2]],1,0)</f>
        <v>0</v>
      </c>
      <c r="AJ12">
        <f>IF(StudentData[[#This Row],[failures]]&gt;=2,100,IF(StudentData[[#This Row],[failures]]=1,60,0))</f>
        <v>0</v>
      </c>
      <c r="AK12">
        <f>IF(StudentData[[#This Row],[absences]]&gt;15,80,IF(StudentData[[#This Row],[absences]]&gt;10,50,0))</f>
        <v>0</v>
      </c>
      <c r="AL12">
        <f>IF(StudentData[[#This Row],[studytime]]=1,70,IF(StudentData[[#This Row],[studytime]]=2,40,0))</f>
        <v>40</v>
      </c>
      <c r="AM12">
        <f>IF(StudentData[[#This Row],[GradeDrop]]=1,50,0)</f>
        <v>0</v>
      </c>
      <c r="AN12">
        <f>0.4*StudentData[[#This Row],[FailureScore]]+0.3*StudentData[[#This Row],[AbsenceScore]]+0.2*StudentData[[#This Row],[StudyRisk]]+0.1*StudentData[[#This Row],[TrendRisk]]</f>
        <v>8</v>
      </c>
      <c r="AO12" t="str">
        <f>IF(StudentData[[#This Row],[RiskIndex]]&lt;=30,"Low",IF(StudentData[[#This Row],[RiskIndex]]&lt;=60,"Medium","High"))</f>
        <v>Low</v>
      </c>
      <c r="AP12">
        <f>StudentData[[#This Row],[G3]]+('Intervention Simulator'!$C$2*1.5)</f>
        <v>14</v>
      </c>
      <c r="AQ12" t="str">
        <f>IF(StudentData[[#This Row],[ProjectedGrade]]&gt;=10,"Pass","Fail")</f>
        <v>Pass</v>
      </c>
    </row>
    <row r="13" spans="1:4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  <c r="AH13" t="str">
        <f>IF(StudentData[[#This Row],[G3]]&gt;=10,"Pass","Fail")</f>
        <v>Pass</v>
      </c>
      <c r="AI13">
        <f>IF(StudentData[[#This Row],[G3]]&lt;StudentData[[#This Row],[G2]],1,0)</f>
        <v>0</v>
      </c>
      <c r="AJ13">
        <f>IF(StudentData[[#This Row],[failures]]&gt;=2,100,IF(StudentData[[#This Row],[failures]]=1,60,0))</f>
        <v>0</v>
      </c>
      <c r="AK13">
        <f>IF(StudentData[[#This Row],[absences]]&gt;15,80,IF(StudentData[[#This Row],[absences]]&gt;10,50,0))</f>
        <v>0</v>
      </c>
      <c r="AL13">
        <f>IF(StudentData[[#This Row],[studytime]]=1,70,IF(StudentData[[#This Row],[studytime]]=2,40,0))</f>
        <v>0</v>
      </c>
      <c r="AM13">
        <f>IF(StudentData[[#This Row],[GradeDrop]]=1,50,0)</f>
        <v>0</v>
      </c>
      <c r="AN13">
        <f>0.4*StudentData[[#This Row],[FailureScore]]+0.3*StudentData[[#This Row],[AbsenceScore]]+0.2*StudentData[[#This Row],[StudyRisk]]+0.1*StudentData[[#This Row],[TrendRisk]]</f>
        <v>0</v>
      </c>
      <c r="AO13" t="str">
        <f>IF(StudentData[[#This Row],[RiskIndex]]&lt;=30,"Low",IF(StudentData[[#This Row],[RiskIndex]]&lt;=60,"Medium","High"))</f>
        <v>Low</v>
      </c>
      <c r="AP13">
        <f>StudentData[[#This Row],[G3]]+('Intervention Simulator'!$C$2*1.5)</f>
        <v>13</v>
      </c>
      <c r="AQ13" t="str">
        <f>IF(StudentData[[#This Row],[ProjectedGrade]]&gt;=10,"Pass","Fail")</f>
        <v>Pass</v>
      </c>
    </row>
    <row r="14" spans="1:4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  <c r="AH14" t="str">
        <f>IF(StudentData[[#This Row],[G3]]&gt;=10,"Pass","Fail")</f>
        <v>Pass</v>
      </c>
      <c r="AI14">
        <f>IF(StudentData[[#This Row],[G3]]&lt;StudentData[[#This Row],[G2]],1,0)</f>
        <v>1</v>
      </c>
      <c r="AJ14">
        <f>IF(StudentData[[#This Row],[failures]]&gt;=2,100,IF(StudentData[[#This Row],[failures]]=1,60,0))</f>
        <v>0</v>
      </c>
      <c r="AK14">
        <f>IF(StudentData[[#This Row],[absences]]&gt;15,80,IF(StudentData[[#This Row],[absences]]&gt;10,50,0))</f>
        <v>0</v>
      </c>
      <c r="AL14">
        <f>IF(StudentData[[#This Row],[studytime]]=1,70,IF(StudentData[[#This Row],[studytime]]=2,40,0))</f>
        <v>70</v>
      </c>
      <c r="AM14">
        <f>IF(StudentData[[#This Row],[GradeDrop]]=1,50,0)</f>
        <v>50</v>
      </c>
      <c r="AN14">
        <f>0.4*StudentData[[#This Row],[FailureScore]]+0.3*StudentData[[#This Row],[AbsenceScore]]+0.2*StudentData[[#This Row],[StudyRisk]]+0.1*StudentData[[#This Row],[TrendRisk]]</f>
        <v>19</v>
      </c>
      <c r="AO14" t="str">
        <f>IF(StudentData[[#This Row],[RiskIndex]]&lt;=30,"Low",IF(StudentData[[#This Row],[RiskIndex]]&lt;=60,"Medium","High"))</f>
        <v>Low</v>
      </c>
      <c r="AP14">
        <f>StudentData[[#This Row],[G3]]+('Intervention Simulator'!$C$2*1.5)</f>
        <v>12</v>
      </c>
      <c r="AQ14" t="str">
        <f>IF(StudentData[[#This Row],[ProjectedGrade]]&gt;=10,"Pass","Fail")</f>
        <v>Pass</v>
      </c>
    </row>
    <row r="15" spans="1:4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  <c r="AH15" t="str">
        <f>IF(StudentData[[#This Row],[G3]]&gt;=10,"Pass","Fail")</f>
        <v>Pass</v>
      </c>
      <c r="AI15">
        <f>IF(StudentData[[#This Row],[G3]]&lt;StudentData[[#This Row],[G2]],1,0)</f>
        <v>0</v>
      </c>
      <c r="AJ15">
        <f>IF(StudentData[[#This Row],[failures]]&gt;=2,100,IF(StudentData[[#This Row],[failures]]=1,60,0))</f>
        <v>0</v>
      </c>
      <c r="AK15">
        <f>IF(StudentData[[#This Row],[absences]]&gt;15,80,IF(StudentData[[#This Row],[absences]]&gt;10,50,0))</f>
        <v>0</v>
      </c>
      <c r="AL15">
        <f>IF(StudentData[[#This Row],[studytime]]=1,70,IF(StudentData[[#This Row],[studytime]]=2,40,0))</f>
        <v>40</v>
      </c>
      <c r="AM15">
        <f>IF(StudentData[[#This Row],[GradeDrop]]=1,50,0)</f>
        <v>0</v>
      </c>
      <c r="AN15">
        <f>0.4*StudentData[[#This Row],[FailureScore]]+0.3*StudentData[[#This Row],[AbsenceScore]]+0.2*StudentData[[#This Row],[StudyRisk]]+0.1*StudentData[[#This Row],[TrendRisk]]</f>
        <v>8</v>
      </c>
      <c r="AO15" t="str">
        <f>IF(StudentData[[#This Row],[RiskIndex]]&lt;=30,"Low",IF(StudentData[[#This Row],[RiskIndex]]&lt;=60,"Medium","High"))</f>
        <v>Low</v>
      </c>
      <c r="AP15">
        <f>StudentData[[#This Row],[G3]]+('Intervention Simulator'!$C$2*1.5)</f>
        <v>13</v>
      </c>
      <c r="AQ15" t="str">
        <f>IF(StudentData[[#This Row],[ProjectedGrade]]&gt;=10,"Pass","Fail")</f>
        <v>Pass</v>
      </c>
    </row>
    <row r="16" spans="1:4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  <c r="AH16" t="str">
        <f>IF(StudentData[[#This Row],[G3]]&gt;=10,"Pass","Fail")</f>
        <v>Pass</v>
      </c>
      <c r="AI16">
        <f>IF(StudentData[[#This Row],[G3]]&lt;StudentData[[#This Row],[G2]],1,0)</f>
        <v>0</v>
      </c>
      <c r="AJ16">
        <f>IF(StudentData[[#This Row],[failures]]&gt;=2,100,IF(StudentData[[#This Row],[failures]]=1,60,0))</f>
        <v>0</v>
      </c>
      <c r="AK16">
        <f>IF(StudentData[[#This Row],[absences]]&gt;15,80,IF(StudentData[[#This Row],[absences]]&gt;10,50,0))</f>
        <v>0</v>
      </c>
      <c r="AL16">
        <f>IF(StudentData[[#This Row],[studytime]]=1,70,IF(StudentData[[#This Row],[studytime]]=2,40,0))</f>
        <v>0</v>
      </c>
      <c r="AM16">
        <f>IF(StudentData[[#This Row],[GradeDrop]]=1,50,0)</f>
        <v>0</v>
      </c>
      <c r="AN16">
        <f>0.4*StudentData[[#This Row],[FailureScore]]+0.3*StudentData[[#This Row],[AbsenceScore]]+0.2*StudentData[[#This Row],[StudyRisk]]+0.1*StudentData[[#This Row],[TrendRisk]]</f>
        <v>0</v>
      </c>
      <c r="AO16" t="str">
        <f>IF(StudentData[[#This Row],[RiskIndex]]&lt;=30,"Low",IF(StudentData[[#This Row],[RiskIndex]]&lt;=60,"Medium","High"))</f>
        <v>Low</v>
      </c>
      <c r="AP16">
        <f>StudentData[[#This Row],[G3]]+('Intervention Simulator'!$C$2*1.5)</f>
        <v>15</v>
      </c>
      <c r="AQ16" t="str">
        <f>IF(StudentData[[#This Row],[ProjectedGrade]]&gt;=10,"Pass","Fail")</f>
        <v>Pass</v>
      </c>
    </row>
    <row r="17" spans="1:4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  <c r="AH17" t="str">
        <f>IF(StudentData[[#This Row],[G3]]&gt;=10,"Pass","Fail")</f>
        <v>Pass</v>
      </c>
      <c r="AI17">
        <f>IF(StudentData[[#This Row],[G3]]&lt;StudentData[[#This Row],[G2]],1,0)</f>
        <v>0</v>
      </c>
      <c r="AJ17">
        <f>IF(StudentData[[#This Row],[failures]]&gt;=2,100,IF(StudentData[[#This Row],[failures]]=1,60,0))</f>
        <v>0</v>
      </c>
      <c r="AK17">
        <f>IF(StudentData[[#This Row],[absences]]&gt;15,80,IF(StudentData[[#This Row],[absences]]&gt;10,50,0))</f>
        <v>0</v>
      </c>
      <c r="AL17">
        <f>IF(StudentData[[#This Row],[studytime]]=1,70,IF(StudentData[[#This Row],[studytime]]=2,40,0))</f>
        <v>70</v>
      </c>
      <c r="AM17">
        <f>IF(StudentData[[#This Row],[GradeDrop]]=1,50,0)</f>
        <v>0</v>
      </c>
      <c r="AN17">
        <f>0.4*StudentData[[#This Row],[FailureScore]]+0.3*StudentData[[#This Row],[AbsenceScore]]+0.2*StudentData[[#This Row],[StudyRisk]]+0.1*StudentData[[#This Row],[TrendRisk]]</f>
        <v>14</v>
      </c>
      <c r="AO17" t="str">
        <f>IF(StudentData[[#This Row],[RiskIndex]]&lt;=30,"Low",IF(StudentData[[#This Row],[RiskIndex]]&lt;=60,"Medium","High"))</f>
        <v>Low</v>
      </c>
      <c r="AP17">
        <f>StudentData[[#This Row],[G3]]+('Intervention Simulator'!$C$2*1.5)</f>
        <v>17</v>
      </c>
      <c r="AQ17" t="str">
        <f>IF(StudentData[[#This Row],[ProjectedGrade]]&gt;=10,"Pass","Fail")</f>
        <v>Pass</v>
      </c>
    </row>
    <row r="18" spans="1:4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  <c r="AH18" t="str">
        <f>IF(StudentData[[#This Row],[G3]]&gt;=10,"Pass","Fail")</f>
        <v>Pass</v>
      </c>
      <c r="AI18">
        <f>IF(StudentData[[#This Row],[G3]]&lt;StudentData[[#This Row],[G2]],1,0)</f>
        <v>0</v>
      </c>
      <c r="AJ18">
        <f>IF(StudentData[[#This Row],[failures]]&gt;=2,100,IF(StudentData[[#This Row],[failures]]=1,60,0))</f>
        <v>0</v>
      </c>
      <c r="AK18">
        <f>IF(StudentData[[#This Row],[absences]]&gt;15,80,IF(StudentData[[#This Row],[absences]]&gt;10,50,0))</f>
        <v>0</v>
      </c>
      <c r="AL18">
        <f>IF(StudentData[[#This Row],[studytime]]=1,70,IF(StudentData[[#This Row],[studytime]]=2,40,0))</f>
        <v>0</v>
      </c>
      <c r="AM18">
        <f>IF(StudentData[[#This Row],[GradeDrop]]=1,50,0)</f>
        <v>0</v>
      </c>
      <c r="AN18">
        <f>0.4*StudentData[[#This Row],[FailureScore]]+0.3*StudentData[[#This Row],[AbsenceScore]]+0.2*StudentData[[#This Row],[StudyRisk]]+0.1*StudentData[[#This Row],[TrendRisk]]</f>
        <v>0</v>
      </c>
      <c r="AO18" t="str">
        <f>IF(StudentData[[#This Row],[RiskIndex]]&lt;=30,"Low",IF(StudentData[[#This Row],[RiskIndex]]&lt;=60,"Medium","High"))</f>
        <v>Low</v>
      </c>
      <c r="AP18">
        <f>StudentData[[#This Row],[G3]]+('Intervention Simulator'!$C$2*1.5)</f>
        <v>14</v>
      </c>
      <c r="AQ18" t="str">
        <f>IF(StudentData[[#This Row],[ProjectedGrade]]&gt;=10,"Pass","Fail")</f>
        <v>Pass</v>
      </c>
    </row>
    <row r="19" spans="1:4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  <c r="AH19" t="str">
        <f>IF(StudentData[[#This Row],[G3]]&gt;=10,"Pass","Fail")</f>
        <v>Pass</v>
      </c>
      <c r="AI19">
        <f>IF(StudentData[[#This Row],[G3]]&lt;StudentData[[#This Row],[G2]],1,0)</f>
        <v>0</v>
      </c>
      <c r="AJ19">
        <f>IF(StudentData[[#This Row],[failures]]&gt;=2,100,IF(StudentData[[#This Row],[failures]]=1,60,0))</f>
        <v>0</v>
      </c>
      <c r="AK19">
        <f>IF(StudentData[[#This Row],[absences]]&gt;15,80,IF(StudentData[[#This Row],[absences]]&gt;10,50,0))</f>
        <v>0</v>
      </c>
      <c r="AL19">
        <f>IF(StudentData[[#This Row],[studytime]]=1,70,IF(StudentData[[#This Row],[studytime]]=2,40,0))</f>
        <v>40</v>
      </c>
      <c r="AM19">
        <f>IF(StudentData[[#This Row],[GradeDrop]]=1,50,0)</f>
        <v>0</v>
      </c>
      <c r="AN19">
        <f>0.4*StudentData[[#This Row],[FailureScore]]+0.3*StudentData[[#This Row],[AbsenceScore]]+0.2*StudentData[[#This Row],[StudyRisk]]+0.1*StudentData[[#This Row],[TrendRisk]]</f>
        <v>8</v>
      </c>
      <c r="AO19" t="str">
        <f>IF(StudentData[[#This Row],[RiskIndex]]&lt;=30,"Low",IF(StudentData[[#This Row],[RiskIndex]]&lt;=60,"Medium","High"))</f>
        <v>Low</v>
      </c>
      <c r="AP19">
        <f>StudentData[[#This Row],[G3]]+('Intervention Simulator'!$C$2*1.5)</f>
        <v>14</v>
      </c>
      <c r="AQ19" t="str">
        <f>IF(StudentData[[#This Row],[ProjectedGrade]]&gt;=10,"Pass","Fail")</f>
        <v>Pass</v>
      </c>
    </row>
    <row r="20" spans="1:4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  <c r="AH20" t="str">
        <f>IF(StudentData[[#This Row],[G3]]&gt;=10,"Pass","Fail")</f>
        <v>Fail</v>
      </c>
      <c r="AI20">
        <f>IF(StudentData[[#This Row],[G3]]&lt;StudentData[[#This Row],[G2]],1,0)</f>
        <v>1</v>
      </c>
      <c r="AJ20">
        <f>IF(StudentData[[#This Row],[failures]]&gt;=2,100,IF(StudentData[[#This Row],[failures]]=1,60,0))</f>
        <v>100</v>
      </c>
      <c r="AK20">
        <f>IF(StudentData[[#This Row],[absences]]&gt;15,80,IF(StudentData[[#This Row],[absences]]&gt;10,50,0))</f>
        <v>0</v>
      </c>
      <c r="AL20">
        <f>IF(StudentData[[#This Row],[studytime]]=1,70,IF(StudentData[[#This Row],[studytime]]=2,40,0))</f>
        <v>70</v>
      </c>
      <c r="AM20">
        <f>IF(StudentData[[#This Row],[GradeDrop]]=1,50,0)</f>
        <v>50</v>
      </c>
      <c r="AN20">
        <f>0.4*StudentData[[#This Row],[FailureScore]]+0.3*StudentData[[#This Row],[AbsenceScore]]+0.2*StudentData[[#This Row],[StudyRisk]]+0.1*StudentData[[#This Row],[TrendRisk]]</f>
        <v>59</v>
      </c>
      <c r="AO20" t="str">
        <f>IF(StudentData[[#This Row],[RiskIndex]]&lt;=30,"Low",IF(StudentData[[#This Row],[RiskIndex]]&lt;=60,"Medium","High"))</f>
        <v>Medium</v>
      </c>
      <c r="AP20">
        <f>StudentData[[#This Row],[G3]]+('Intervention Simulator'!$C$2*1.5)</f>
        <v>7</v>
      </c>
      <c r="AQ20" t="str">
        <f>IF(StudentData[[#This Row],[ProjectedGrade]]&gt;=10,"Pass","Fail")</f>
        <v>Fail</v>
      </c>
    </row>
    <row r="21" spans="1:4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  <c r="AH21" t="str">
        <f>IF(StudentData[[#This Row],[G3]]&gt;=10,"Pass","Fail")</f>
        <v>Pass</v>
      </c>
      <c r="AI21">
        <f>IF(StudentData[[#This Row],[G3]]&lt;StudentData[[#This Row],[G2]],1,0)</f>
        <v>0</v>
      </c>
      <c r="AJ21">
        <f>IF(StudentData[[#This Row],[failures]]&gt;=2,100,IF(StudentData[[#This Row],[failures]]=1,60,0))</f>
        <v>0</v>
      </c>
      <c r="AK21">
        <f>IF(StudentData[[#This Row],[absences]]&gt;15,80,IF(StudentData[[#This Row],[absences]]&gt;10,50,0))</f>
        <v>0</v>
      </c>
      <c r="AL21">
        <f>IF(StudentData[[#This Row],[studytime]]=1,70,IF(StudentData[[#This Row],[studytime]]=2,40,0))</f>
        <v>70</v>
      </c>
      <c r="AM21">
        <f>IF(StudentData[[#This Row],[GradeDrop]]=1,50,0)</f>
        <v>0</v>
      </c>
      <c r="AN21">
        <f>0.4*StudentData[[#This Row],[FailureScore]]+0.3*StudentData[[#This Row],[AbsenceScore]]+0.2*StudentData[[#This Row],[StudyRisk]]+0.1*StudentData[[#This Row],[TrendRisk]]</f>
        <v>14</v>
      </c>
      <c r="AO21" t="str">
        <f>IF(StudentData[[#This Row],[RiskIndex]]&lt;=30,"Low",IF(StudentData[[#This Row],[RiskIndex]]&lt;=60,"Medium","High"))</f>
        <v>Low</v>
      </c>
      <c r="AP21">
        <f>StudentData[[#This Row],[G3]]+('Intervention Simulator'!$C$2*1.5)</f>
        <v>12</v>
      </c>
      <c r="AQ21" t="str">
        <f>IF(StudentData[[#This Row],[ProjectedGrade]]&gt;=10,"Pass","Fail")</f>
        <v>Pass</v>
      </c>
    </row>
    <row r="22" spans="1:4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  <c r="AH22" t="str">
        <f>IF(StudentData[[#This Row],[G3]]&gt;=10,"Pass","Fail")</f>
        <v>Pass</v>
      </c>
      <c r="AI22">
        <f>IF(StudentData[[#This Row],[G3]]&lt;StudentData[[#This Row],[G2]],1,0)</f>
        <v>0</v>
      </c>
      <c r="AJ22">
        <f>IF(StudentData[[#This Row],[failures]]&gt;=2,100,IF(StudentData[[#This Row],[failures]]=1,60,0))</f>
        <v>0</v>
      </c>
      <c r="AK22">
        <f>IF(StudentData[[#This Row],[absences]]&gt;15,80,IF(StudentData[[#This Row],[absences]]&gt;10,50,0))</f>
        <v>0</v>
      </c>
      <c r="AL22">
        <f>IF(StudentData[[#This Row],[studytime]]=1,70,IF(StudentData[[#This Row],[studytime]]=2,40,0))</f>
        <v>40</v>
      </c>
      <c r="AM22">
        <f>IF(StudentData[[#This Row],[GradeDrop]]=1,50,0)</f>
        <v>0</v>
      </c>
      <c r="AN22">
        <f>0.4*StudentData[[#This Row],[FailureScore]]+0.3*StudentData[[#This Row],[AbsenceScore]]+0.2*StudentData[[#This Row],[StudyRisk]]+0.1*StudentData[[#This Row],[TrendRisk]]</f>
        <v>8</v>
      </c>
      <c r="AO22" t="str">
        <f>IF(StudentData[[#This Row],[RiskIndex]]&lt;=30,"Low",IF(StudentData[[#This Row],[RiskIndex]]&lt;=60,"Medium","High"))</f>
        <v>Low</v>
      </c>
      <c r="AP22">
        <f>StudentData[[#This Row],[G3]]+('Intervention Simulator'!$C$2*1.5)</f>
        <v>14</v>
      </c>
      <c r="AQ22" t="str">
        <f>IF(StudentData[[#This Row],[ProjectedGrade]]&gt;=10,"Pass","Fail")</f>
        <v>Pass</v>
      </c>
    </row>
    <row r="23" spans="1:4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  <c r="AH23" t="str">
        <f>IF(StudentData[[#This Row],[G3]]&gt;=10,"Pass","Fail")</f>
        <v>Pass</v>
      </c>
      <c r="AI23">
        <f>IF(StudentData[[#This Row],[G3]]&lt;StudentData[[#This Row],[G2]],1,0)</f>
        <v>0</v>
      </c>
      <c r="AJ23">
        <f>IF(StudentData[[#This Row],[failures]]&gt;=2,100,IF(StudentData[[#This Row],[failures]]=1,60,0))</f>
        <v>0</v>
      </c>
      <c r="AK23">
        <f>IF(StudentData[[#This Row],[absences]]&gt;15,80,IF(StudentData[[#This Row],[absences]]&gt;10,50,0))</f>
        <v>0</v>
      </c>
      <c r="AL23">
        <f>IF(StudentData[[#This Row],[studytime]]=1,70,IF(StudentData[[#This Row],[studytime]]=2,40,0))</f>
        <v>70</v>
      </c>
      <c r="AM23">
        <f>IF(StudentData[[#This Row],[GradeDrop]]=1,50,0)</f>
        <v>0</v>
      </c>
      <c r="AN23">
        <f>0.4*StudentData[[#This Row],[FailureScore]]+0.3*StudentData[[#This Row],[AbsenceScore]]+0.2*StudentData[[#This Row],[StudyRisk]]+0.1*StudentData[[#This Row],[TrendRisk]]</f>
        <v>14</v>
      </c>
      <c r="AO23" t="str">
        <f>IF(StudentData[[#This Row],[RiskIndex]]&lt;=30,"Low",IF(StudentData[[#This Row],[RiskIndex]]&lt;=60,"Medium","High"))</f>
        <v>Low</v>
      </c>
      <c r="AP23">
        <f>StudentData[[#This Row],[G3]]+('Intervention Simulator'!$C$2*1.5)</f>
        <v>12</v>
      </c>
      <c r="AQ23" t="str">
        <f>IF(StudentData[[#This Row],[ProjectedGrade]]&gt;=10,"Pass","Fail")</f>
        <v>Pass</v>
      </c>
    </row>
    <row r="24" spans="1:4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  <c r="AH24" t="str">
        <f>IF(StudentData[[#This Row],[G3]]&gt;=10,"Pass","Fail")</f>
        <v>Pass</v>
      </c>
      <c r="AI24">
        <f>IF(StudentData[[#This Row],[G3]]&lt;StudentData[[#This Row],[G2]],1,0)</f>
        <v>0</v>
      </c>
      <c r="AJ24">
        <f>IF(StudentData[[#This Row],[failures]]&gt;=2,100,IF(StudentData[[#This Row],[failures]]=1,60,0))</f>
        <v>0</v>
      </c>
      <c r="AK24">
        <f>IF(StudentData[[#This Row],[absences]]&gt;15,80,IF(StudentData[[#This Row],[absences]]&gt;10,50,0))</f>
        <v>0</v>
      </c>
      <c r="AL24">
        <f>IF(StudentData[[#This Row],[studytime]]=1,70,IF(StudentData[[#This Row],[studytime]]=2,40,0))</f>
        <v>40</v>
      </c>
      <c r="AM24">
        <f>IF(StudentData[[#This Row],[GradeDrop]]=1,50,0)</f>
        <v>0</v>
      </c>
      <c r="AN24">
        <f>0.4*StudentData[[#This Row],[FailureScore]]+0.3*StudentData[[#This Row],[AbsenceScore]]+0.2*StudentData[[#This Row],[StudyRisk]]+0.1*StudentData[[#This Row],[TrendRisk]]</f>
        <v>8</v>
      </c>
      <c r="AO24" t="str">
        <f>IF(StudentData[[#This Row],[RiskIndex]]&lt;=30,"Low",IF(StudentData[[#This Row],[RiskIndex]]&lt;=60,"Medium","High"))</f>
        <v>Low</v>
      </c>
      <c r="AP24">
        <f>StudentData[[#This Row],[G3]]+('Intervention Simulator'!$C$2*1.5)</f>
        <v>14</v>
      </c>
      <c r="AQ24" t="str">
        <f>IF(StudentData[[#This Row],[ProjectedGrade]]&gt;=10,"Pass","Fail")</f>
        <v>Pass</v>
      </c>
    </row>
    <row r="25" spans="1:4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  <c r="AH25" t="str">
        <f>IF(StudentData[[#This Row],[G3]]&gt;=10,"Pass","Fail")</f>
        <v>Pass</v>
      </c>
      <c r="AI25">
        <f>IF(StudentData[[#This Row],[G3]]&lt;StudentData[[#This Row],[G2]],1,0)</f>
        <v>0</v>
      </c>
      <c r="AJ25">
        <f>IF(StudentData[[#This Row],[failures]]&gt;=2,100,IF(StudentData[[#This Row],[failures]]=1,60,0))</f>
        <v>0</v>
      </c>
      <c r="AK25">
        <f>IF(StudentData[[#This Row],[absences]]&gt;15,80,IF(StudentData[[#This Row],[absences]]&gt;10,50,0))</f>
        <v>0</v>
      </c>
      <c r="AL25">
        <f>IF(StudentData[[#This Row],[studytime]]=1,70,IF(StudentData[[#This Row],[studytime]]=2,40,0))</f>
        <v>40</v>
      </c>
      <c r="AM25">
        <f>IF(StudentData[[#This Row],[GradeDrop]]=1,50,0)</f>
        <v>0</v>
      </c>
      <c r="AN25">
        <f>0.4*StudentData[[#This Row],[FailureScore]]+0.3*StudentData[[#This Row],[AbsenceScore]]+0.2*StudentData[[#This Row],[StudyRisk]]+0.1*StudentData[[#This Row],[TrendRisk]]</f>
        <v>8</v>
      </c>
      <c r="AO25" t="str">
        <f>IF(StudentData[[#This Row],[RiskIndex]]&lt;=30,"Low",IF(StudentData[[#This Row],[RiskIndex]]&lt;=60,"Medium","High"))</f>
        <v>Low</v>
      </c>
      <c r="AP25">
        <f>StudentData[[#This Row],[G3]]+('Intervention Simulator'!$C$2*1.5)</f>
        <v>10</v>
      </c>
      <c r="AQ25" t="str">
        <f>IF(StudentData[[#This Row],[ProjectedGrade]]&gt;=10,"Pass","Fail")</f>
        <v>Pass</v>
      </c>
    </row>
    <row r="26" spans="1:4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  <c r="AH26" t="str">
        <f>IF(StudentData[[#This Row],[G3]]&gt;=10,"Pass","Fail")</f>
        <v>Pass</v>
      </c>
      <c r="AI26">
        <f>IF(StudentData[[#This Row],[G3]]&lt;StudentData[[#This Row],[G2]],1,0)</f>
        <v>1</v>
      </c>
      <c r="AJ26">
        <f>IF(StudentData[[#This Row],[failures]]&gt;=2,100,IF(StudentData[[#This Row],[failures]]=1,60,0))</f>
        <v>0</v>
      </c>
      <c r="AK26">
        <f>IF(StudentData[[#This Row],[absences]]&gt;15,80,IF(StudentData[[#This Row],[absences]]&gt;10,50,0))</f>
        <v>0</v>
      </c>
      <c r="AL26">
        <f>IF(StudentData[[#This Row],[studytime]]=1,70,IF(StudentData[[#This Row],[studytime]]=2,40,0))</f>
        <v>0</v>
      </c>
      <c r="AM26">
        <f>IF(StudentData[[#This Row],[GradeDrop]]=1,50,0)</f>
        <v>50</v>
      </c>
      <c r="AN26">
        <f>0.4*StudentData[[#This Row],[FailureScore]]+0.3*StudentData[[#This Row],[AbsenceScore]]+0.2*StudentData[[#This Row],[StudyRisk]]+0.1*StudentData[[#This Row],[TrendRisk]]</f>
        <v>5</v>
      </c>
      <c r="AO26" t="str">
        <f>IF(StudentData[[#This Row],[RiskIndex]]&lt;=30,"Low",IF(StudentData[[#This Row],[RiskIndex]]&lt;=60,"Medium","High"))</f>
        <v>Low</v>
      </c>
      <c r="AP26">
        <f>StudentData[[#This Row],[G3]]+('Intervention Simulator'!$C$2*1.5)</f>
        <v>10</v>
      </c>
      <c r="AQ26" t="str">
        <f>IF(StudentData[[#This Row],[ProjectedGrade]]&gt;=10,"Pass","Fail")</f>
        <v>Pass</v>
      </c>
    </row>
    <row r="27" spans="1:4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  <c r="AH27" t="str">
        <f>IF(StudentData[[#This Row],[G3]]&gt;=10,"Pass","Fail")</f>
        <v>Pass</v>
      </c>
      <c r="AI27">
        <f>IF(StudentData[[#This Row],[G3]]&lt;StudentData[[#This Row],[G2]],1,0)</f>
        <v>0</v>
      </c>
      <c r="AJ27">
        <f>IF(StudentData[[#This Row],[failures]]&gt;=2,100,IF(StudentData[[#This Row],[failures]]=1,60,0))</f>
        <v>0</v>
      </c>
      <c r="AK27">
        <f>IF(StudentData[[#This Row],[absences]]&gt;15,80,IF(StudentData[[#This Row],[absences]]&gt;10,50,0))</f>
        <v>0</v>
      </c>
      <c r="AL27">
        <f>IF(StudentData[[#This Row],[studytime]]=1,70,IF(StudentData[[#This Row],[studytime]]=2,40,0))</f>
        <v>70</v>
      </c>
      <c r="AM27">
        <f>IF(StudentData[[#This Row],[GradeDrop]]=1,50,0)</f>
        <v>0</v>
      </c>
      <c r="AN27">
        <f>0.4*StudentData[[#This Row],[FailureScore]]+0.3*StudentData[[#This Row],[AbsenceScore]]+0.2*StudentData[[#This Row],[StudyRisk]]+0.1*StudentData[[#This Row],[TrendRisk]]</f>
        <v>14</v>
      </c>
      <c r="AO27" t="str">
        <f>IF(StudentData[[#This Row],[RiskIndex]]&lt;=30,"Low",IF(StudentData[[#This Row],[RiskIndex]]&lt;=60,"Medium","High"))</f>
        <v>Low</v>
      </c>
      <c r="AP27">
        <f>StudentData[[#This Row],[G3]]+('Intervention Simulator'!$C$2*1.5)</f>
        <v>12</v>
      </c>
      <c r="AQ27" t="str">
        <f>IF(StudentData[[#This Row],[ProjectedGrade]]&gt;=10,"Pass","Fail")</f>
        <v>Pass</v>
      </c>
    </row>
    <row r="28" spans="1:4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  <c r="AH28" t="str">
        <f>IF(StudentData[[#This Row],[G3]]&gt;=10,"Pass","Fail")</f>
        <v>Pass</v>
      </c>
      <c r="AI28">
        <f>IF(StudentData[[#This Row],[G3]]&lt;StudentData[[#This Row],[G2]],1,0)</f>
        <v>0</v>
      </c>
      <c r="AJ28">
        <f>IF(StudentData[[#This Row],[failures]]&gt;=2,100,IF(StudentData[[#This Row],[failures]]=1,60,0))</f>
        <v>0</v>
      </c>
      <c r="AK28">
        <f>IF(StudentData[[#This Row],[absences]]&gt;15,80,IF(StudentData[[#This Row],[absences]]&gt;10,50,0))</f>
        <v>0</v>
      </c>
      <c r="AL28">
        <f>IF(StudentData[[#This Row],[studytime]]=1,70,IF(StudentData[[#This Row],[studytime]]=2,40,0))</f>
        <v>70</v>
      </c>
      <c r="AM28">
        <f>IF(StudentData[[#This Row],[GradeDrop]]=1,50,0)</f>
        <v>0</v>
      </c>
      <c r="AN28">
        <f>0.4*StudentData[[#This Row],[FailureScore]]+0.3*StudentData[[#This Row],[AbsenceScore]]+0.2*StudentData[[#This Row],[StudyRisk]]+0.1*StudentData[[#This Row],[TrendRisk]]</f>
        <v>14</v>
      </c>
      <c r="AO28" t="str">
        <f>IF(StudentData[[#This Row],[RiskIndex]]&lt;=30,"Low",IF(StudentData[[#This Row],[RiskIndex]]&lt;=60,"Medium","High"))</f>
        <v>Low</v>
      </c>
      <c r="AP28">
        <f>StudentData[[#This Row],[G3]]+('Intervention Simulator'!$C$2*1.5)</f>
        <v>12</v>
      </c>
      <c r="AQ28" t="str">
        <f>IF(StudentData[[#This Row],[ProjectedGrade]]&gt;=10,"Pass","Fail")</f>
        <v>Pass</v>
      </c>
    </row>
    <row r="29" spans="1:4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  <c r="AH29" t="str">
        <f>IF(StudentData[[#This Row],[G3]]&gt;=10,"Pass","Fail")</f>
        <v>Pass</v>
      </c>
      <c r="AI29">
        <f>IF(StudentData[[#This Row],[G3]]&lt;StudentData[[#This Row],[G2]],1,0)</f>
        <v>0</v>
      </c>
      <c r="AJ29">
        <f>IF(StudentData[[#This Row],[failures]]&gt;=2,100,IF(StudentData[[#This Row],[failures]]=1,60,0))</f>
        <v>0</v>
      </c>
      <c r="AK29">
        <f>IF(StudentData[[#This Row],[absences]]&gt;15,80,IF(StudentData[[#This Row],[absences]]&gt;10,50,0))</f>
        <v>0</v>
      </c>
      <c r="AL29">
        <f>IF(StudentData[[#This Row],[studytime]]=1,70,IF(StudentData[[#This Row],[studytime]]=2,40,0))</f>
        <v>70</v>
      </c>
      <c r="AM29">
        <f>IF(StudentData[[#This Row],[GradeDrop]]=1,50,0)</f>
        <v>0</v>
      </c>
      <c r="AN29">
        <f>0.4*StudentData[[#This Row],[FailureScore]]+0.3*StudentData[[#This Row],[AbsenceScore]]+0.2*StudentData[[#This Row],[StudyRisk]]+0.1*StudentData[[#This Row],[TrendRisk]]</f>
        <v>14</v>
      </c>
      <c r="AO29" t="str">
        <f>IF(StudentData[[#This Row],[RiskIndex]]&lt;=30,"Low",IF(StudentData[[#This Row],[RiskIndex]]&lt;=60,"Medium","High"))</f>
        <v>Low</v>
      </c>
      <c r="AP29">
        <f>StudentData[[#This Row],[G3]]+('Intervention Simulator'!$C$2*1.5)</f>
        <v>11</v>
      </c>
      <c r="AQ29" t="str">
        <f>IF(StudentData[[#This Row],[ProjectedGrade]]&gt;=10,"Pass","Fail")</f>
        <v>Pass</v>
      </c>
    </row>
    <row r="30" spans="1:4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  <c r="AH30" t="str">
        <f>IF(StudentData[[#This Row],[G3]]&gt;=10,"Pass","Fail")</f>
        <v>Pass</v>
      </c>
      <c r="AI30">
        <f>IF(StudentData[[#This Row],[G3]]&lt;StudentData[[#This Row],[G2]],1,0)</f>
        <v>0</v>
      </c>
      <c r="AJ30">
        <f>IF(StudentData[[#This Row],[failures]]&gt;=2,100,IF(StudentData[[#This Row],[failures]]=1,60,0))</f>
        <v>0</v>
      </c>
      <c r="AK30">
        <f>IF(StudentData[[#This Row],[absences]]&gt;15,80,IF(StudentData[[#This Row],[absences]]&gt;10,50,0))</f>
        <v>0</v>
      </c>
      <c r="AL30">
        <f>IF(StudentData[[#This Row],[studytime]]=1,70,IF(StudentData[[#This Row],[studytime]]=2,40,0))</f>
        <v>40</v>
      </c>
      <c r="AM30">
        <f>IF(StudentData[[#This Row],[GradeDrop]]=1,50,0)</f>
        <v>0</v>
      </c>
      <c r="AN30">
        <f>0.4*StudentData[[#This Row],[FailureScore]]+0.3*StudentData[[#This Row],[AbsenceScore]]+0.2*StudentData[[#This Row],[StudyRisk]]+0.1*StudentData[[#This Row],[TrendRisk]]</f>
        <v>8</v>
      </c>
      <c r="AO30" t="str">
        <f>IF(StudentData[[#This Row],[RiskIndex]]&lt;=30,"Low",IF(StudentData[[#This Row],[RiskIndex]]&lt;=60,"Medium","High"))</f>
        <v>Low</v>
      </c>
      <c r="AP30">
        <f>StudentData[[#This Row],[G3]]+('Intervention Simulator'!$C$2*1.5)</f>
        <v>13</v>
      </c>
      <c r="AQ30" t="str">
        <f>IF(StudentData[[#This Row],[ProjectedGrade]]&gt;=10,"Pass","Fail")</f>
        <v>Pass</v>
      </c>
    </row>
    <row r="31" spans="1:4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  <c r="AH31" t="str">
        <f>IF(StudentData[[#This Row],[G3]]&gt;=10,"Pass","Fail")</f>
        <v>Pass</v>
      </c>
      <c r="AI31">
        <f>IF(StudentData[[#This Row],[G3]]&lt;StudentData[[#This Row],[G2]],1,0)</f>
        <v>0</v>
      </c>
      <c r="AJ31">
        <f>IF(StudentData[[#This Row],[failures]]&gt;=2,100,IF(StudentData[[#This Row],[failures]]=1,60,0))</f>
        <v>0</v>
      </c>
      <c r="AK31">
        <f>IF(StudentData[[#This Row],[absences]]&gt;15,80,IF(StudentData[[#This Row],[absences]]&gt;10,50,0))</f>
        <v>0</v>
      </c>
      <c r="AL31">
        <f>IF(StudentData[[#This Row],[studytime]]=1,70,IF(StudentData[[#This Row],[studytime]]=2,40,0))</f>
        <v>40</v>
      </c>
      <c r="AM31">
        <f>IF(StudentData[[#This Row],[GradeDrop]]=1,50,0)</f>
        <v>0</v>
      </c>
      <c r="AN31">
        <f>0.4*StudentData[[#This Row],[FailureScore]]+0.3*StudentData[[#This Row],[AbsenceScore]]+0.2*StudentData[[#This Row],[StudyRisk]]+0.1*StudentData[[#This Row],[TrendRisk]]</f>
        <v>8</v>
      </c>
      <c r="AO31" t="str">
        <f>IF(StudentData[[#This Row],[RiskIndex]]&lt;=30,"Low",IF(StudentData[[#This Row],[RiskIndex]]&lt;=60,"Medium","High"))</f>
        <v>Low</v>
      </c>
      <c r="AP31">
        <f>StudentData[[#This Row],[G3]]+('Intervention Simulator'!$C$2*1.5)</f>
        <v>12</v>
      </c>
      <c r="AQ31" t="str">
        <f>IF(StudentData[[#This Row],[ProjectedGrade]]&gt;=10,"Pass","Fail")</f>
        <v>Pass</v>
      </c>
    </row>
    <row r="32" spans="1:4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  <c r="AH32" t="str">
        <f>IF(StudentData[[#This Row],[G3]]&gt;=10,"Pass","Fail")</f>
        <v>Pass</v>
      </c>
      <c r="AI32">
        <f>IF(StudentData[[#This Row],[G3]]&lt;StudentData[[#This Row],[G2]],1,0)</f>
        <v>0</v>
      </c>
      <c r="AJ32">
        <f>IF(StudentData[[#This Row],[failures]]&gt;=2,100,IF(StudentData[[#This Row],[failures]]=1,60,0))</f>
        <v>0</v>
      </c>
      <c r="AK32">
        <f>IF(StudentData[[#This Row],[absences]]&gt;15,80,IF(StudentData[[#This Row],[absences]]&gt;10,50,0))</f>
        <v>0</v>
      </c>
      <c r="AL32">
        <f>IF(StudentData[[#This Row],[studytime]]=1,70,IF(StudentData[[#This Row],[studytime]]=2,40,0))</f>
        <v>40</v>
      </c>
      <c r="AM32">
        <f>IF(StudentData[[#This Row],[GradeDrop]]=1,50,0)</f>
        <v>0</v>
      </c>
      <c r="AN32">
        <f>0.4*StudentData[[#This Row],[FailureScore]]+0.3*StudentData[[#This Row],[AbsenceScore]]+0.2*StudentData[[#This Row],[StudyRisk]]+0.1*StudentData[[#This Row],[TrendRisk]]</f>
        <v>8</v>
      </c>
      <c r="AO32" t="str">
        <f>IF(StudentData[[#This Row],[RiskIndex]]&lt;=30,"Low",IF(StudentData[[#This Row],[RiskIndex]]&lt;=60,"Medium","High"))</f>
        <v>Low</v>
      </c>
      <c r="AP32">
        <f>StudentData[[#This Row],[G3]]+('Intervention Simulator'!$C$2*1.5)</f>
        <v>11</v>
      </c>
      <c r="AQ32" t="str">
        <f>IF(StudentData[[#This Row],[ProjectedGrade]]&gt;=10,"Pass","Fail")</f>
        <v>Pass</v>
      </c>
    </row>
    <row r="33" spans="1:4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  <c r="AH33" t="str">
        <f>IF(StudentData[[#This Row],[G3]]&gt;=10,"Pass","Fail")</f>
        <v>Pass</v>
      </c>
      <c r="AI33">
        <f>IF(StudentData[[#This Row],[G3]]&lt;StudentData[[#This Row],[G2]],1,0)</f>
        <v>0</v>
      </c>
      <c r="AJ33">
        <f>IF(StudentData[[#This Row],[failures]]&gt;=2,100,IF(StudentData[[#This Row],[failures]]=1,60,0))</f>
        <v>0</v>
      </c>
      <c r="AK33">
        <f>IF(StudentData[[#This Row],[absences]]&gt;15,80,IF(StudentData[[#This Row],[absences]]&gt;10,50,0))</f>
        <v>0</v>
      </c>
      <c r="AL33">
        <f>IF(StudentData[[#This Row],[studytime]]=1,70,IF(StudentData[[#This Row],[studytime]]=2,40,0))</f>
        <v>40</v>
      </c>
      <c r="AM33">
        <f>IF(StudentData[[#This Row],[GradeDrop]]=1,50,0)</f>
        <v>0</v>
      </c>
      <c r="AN33">
        <f>0.4*StudentData[[#This Row],[FailureScore]]+0.3*StudentData[[#This Row],[AbsenceScore]]+0.2*StudentData[[#This Row],[StudyRisk]]+0.1*StudentData[[#This Row],[TrendRisk]]</f>
        <v>8</v>
      </c>
      <c r="AO33" t="str">
        <f>IF(StudentData[[#This Row],[RiskIndex]]&lt;=30,"Low",IF(StudentData[[#This Row],[RiskIndex]]&lt;=60,"Medium","High"))</f>
        <v>Low</v>
      </c>
      <c r="AP33">
        <f>StudentData[[#This Row],[G3]]+('Intervention Simulator'!$C$2*1.5)</f>
        <v>15</v>
      </c>
      <c r="AQ33" t="str">
        <f>IF(StudentData[[#This Row],[ProjectedGrade]]&gt;=10,"Pass","Fail")</f>
        <v>Pass</v>
      </c>
    </row>
    <row r="34" spans="1:4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  <c r="AH34" t="str">
        <f>IF(StudentData[[#This Row],[G3]]&gt;=10,"Pass","Fail")</f>
        <v>Pass</v>
      </c>
      <c r="AI34">
        <f>IF(StudentData[[#This Row],[G3]]&lt;StudentData[[#This Row],[G2]],1,0)</f>
        <v>0</v>
      </c>
      <c r="AJ34">
        <f>IF(StudentData[[#This Row],[failures]]&gt;=2,100,IF(StudentData[[#This Row],[failures]]=1,60,0))</f>
        <v>0</v>
      </c>
      <c r="AK34">
        <f>IF(StudentData[[#This Row],[absences]]&gt;15,80,IF(StudentData[[#This Row],[absences]]&gt;10,50,0))</f>
        <v>0</v>
      </c>
      <c r="AL34">
        <f>IF(StudentData[[#This Row],[studytime]]=1,70,IF(StudentData[[#This Row],[studytime]]=2,40,0))</f>
        <v>40</v>
      </c>
      <c r="AM34">
        <f>IF(StudentData[[#This Row],[GradeDrop]]=1,50,0)</f>
        <v>0</v>
      </c>
      <c r="AN34">
        <f>0.4*StudentData[[#This Row],[FailureScore]]+0.3*StudentData[[#This Row],[AbsenceScore]]+0.2*StudentData[[#This Row],[StudyRisk]]+0.1*StudentData[[#This Row],[TrendRisk]]</f>
        <v>8</v>
      </c>
      <c r="AO34" t="str">
        <f>IF(StudentData[[#This Row],[RiskIndex]]&lt;=30,"Low",IF(StudentData[[#This Row],[RiskIndex]]&lt;=60,"Medium","High"))</f>
        <v>Low</v>
      </c>
      <c r="AP34">
        <f>StudentData[[#This Row],[G3]]+('Intervention Simulator'!$C$2*1.5)</f>
        <v>15</v>
      </c>
      <c r="AQ34" t="str">
        <f>IF(StudentData[[#This Row],[ProjectedGrade]]&gt;=10,"Pass","Fail")</f>
        <v>Pass</v>
      </c>
    </row>
    <row r="35" spans="1:4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  <c r="AH35" t="str">
        <f>IF(StudentData[[#This Row],[G3]]&gt;=10,"Pass","Fail")</f>
        <v>Pass</v>
      </c>
      <c r="AI35">
        <f>IF(StudentData[[#This Row],[G3]]&lt;StudentData[[#This Row],[G2]],1,0)</f>
        <v>0</v>
      </c>
      <c r="AJ35">
        <f>IF(StudentData[[#This Row],[failures]]&gt;=2,100,IF(StudentData[[#This Row],[failures]]=1,60,0))</f>
        <v>0</v>
      </c>
      <c r="AK35">
        <f>IF(StudentData[[#This Row],[absences]]&gt;15,80,IF(StudentData[[#This Row],[absences]]&gt;10,50,0))</f>
        <v>0</v>
      </c>
      <c r="AL35">
        <f>IF(StudentData[[#This Row],[studytime]]=1,70,IF(StudentData[[#This Row],[studytime]]=2,40,0))</f>
        <v>40</v>
      </c>
      <c r="AM35">
        <f>IF(StudentData[[#This Row],[GradeDrop]]=1,50,0)</f>
        <v>0</v>
      </c>
      <c r="AN35">
        <f>0.4*StudentData[[#This Row],[FailureScore]]+0.3*StudentData[[#This Row],[AbsenceScore]]+0.2*StudentData[[#This Row],[StudyRisk]]+0.1*StudentData[[#This Row],[TrendRisk]]</f>
        <v>8</v>
      </c>
      <c r="AO35" t="str">
        <f>IF(StudentData[[#This Row],[RiskIndex]]&lt;=30,"Low",IF(StudentData[[#This Row],[RiskIndex]]&lt;=60,"Medium","High"))</f>
        <v>Low</v>
      </c>
      <c r="AP35">
        <f>StudentData[[#This Row],[G3]]+('Intervention Simulator'!$C$2*1.5)</f>
        <v>12</v>
      </c>
      <c r="AQ35" t="str">
        <f>IF(StudentData[[#This Row],[ProjectedGrade]]&gt;=10,"Pass","Fail")</f>
        <v>Pass</v>
      </c>
    </row>
    <row r="36" spans="1:4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  <c r="AH36" t="str">
        <f>IF(StudentData[[#This Row],[G3]]&gt;=10,"Pass","Fail")</f>
        <v>Pass</v>
      </c>
      <c r="AI36">
        <f>IF(StudentData[[#This Row],[G3]]&lt;StudentData[[#This Row],[G2]],1,0)</f>
        <v>0</v>
      </c>
      <c r="AJ36">
        <f>IF(StudentData[[#This Row],[failures]]&gt;=2,100,IF(StudentData[[#This Row],[failures]]=1,60,0))</f>
        <v>0</v>
      </c>
      <c r="AK36">
        <f>IF(StudentData[[#This Row],[absences]]&gt;15,80,IF(StudentData[[#This Row],[absences]]&gt;10,50,0))</f>
        <v>0</v>
      </c>
      <c r="AL36">
        <f>IF(StudentData[[#This Row],[studytime]]=1,70,IF(StudentData[[#This Row],[studytime]]=2,40,0))</f>
        <v>70</v>
      </c>
      <c r="AM36">
        <f>IF(StudentData[[#This Row],[GradeDrop]]=1,50,0)</f>
        <v>0</v>
      </c>
      <c r="AN36">
        <f>0.4*StudentData[[#This Row],[FailureScore]]+0.3*StudentData[[#This Row],[AbsenceScore]]+0.2*StudentData[[#This Row],[StudyRisk]]+0.1*StudentData[[#This Row],[TrendRisk]]</f>
        <v>14</v>
      </c>
      <c r="AO36" t="str">
        <f>IF(StudentData[[#This Row],[RiskIndex]]&lt;=30,"Low",IF(StudentData[[#This Row],[RiskIndex]]&lt;=60,"Medium","High"))</f>
        <v>Low</v>
      </c>
      <c r="AP36">
        <f>StudentData[[#This Row],[G3]]+('Intervention Simulator'!$C$2*1.5)</f>
        <v>12</v>
      </c>
      <c r="AQ36" t="str">
        <f>IF(StudentData[[#This Row],[ProjectedGrade]]&gt;=10,"Pass","Fail")</f>
        <v>Pass</v>
      </c>
    </row>
    <row r="37" spans="1:4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  <c r="AH37" t="str">
        <f>IF(StudentData[[#This Row],[G3]]&gt;=10,"Pass","Fail")</f>
        <v>Pass</v>
      </c>
      <c r="AI37">
        <f>IF(StudentData[[#This Row],[G3]]&lt;StudentData[[#This Row],[G2]],1,0)</f>
        <v>0</v>
      </c>
      <c r="AJ37">
        <f>IF(StudentData[[#This Row],[failures]]&gt;=2,100,IF(StudentData[[#This Row],[failures]]=1,60,0))</f>
        <v>0</v>
      </c>
      <c r="AK37">
        <f>IF(StudentData[[#This Row],[absences]]&gt;15,80,IF(StudentData[[#This Row],[absences]]&gt;10,50,0))</f>
        <v>0</v>
      </c>
      <c r="AL37">
        <f>IF(StudentData[[#This Row],[studytime]]=1,70,IF(StudentData[[#This Row],[studytime]]=2,40,0))</f>
        <v>70</v>
      </c>
      <c r="AM37">
        <f>IF(StudentData[[#This Row],[GradeDrop]]=1,50,0)</f>
        <v>0</v>
      </c>
      <c r="AN37">
        <f>0.4*StudentData[[#This Row],[FailureScore]]+0.3*StudentData[[#This Row],[AbsenceScore]]+0.2*StudentData[[#This Row],[StudyRisk]]+0.1*StudentData[[#This Row],[TrendRisk]]</f>
        <v>14</v>
      </c>
      <c r="AO37" t="str">
        <f>IF(StudentData[[#This Row],[RiskIndex]]&lt;=30,"Low",IF(StudentData[[#This Row],[RiskIndex]]&lt;=60,"Medium","High"))</f>
        <v>Low</v>
      </c>
      <c r="AP37">
        <f>StudentData[[#This Row],[G3]]+('Intervention Simulator'!$C$2*1.5)</f>
        <v>11</v>
      </c>
      <c r="AQ37" t="str">
        <f>IF(StudentData[[#This Row],[ProjectedGrade]]&gt;=10,"Pass","Fail")</f>
        <v>Pass</v>
      </c>
    </row>
    <row r="38" spans="1:4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  <c r="AH38" t="str">
        <f>IF(StudentData[[#This Row],[G3]]&gt;=10,"Pass","Fail")</f>
        <v>Pass</v>
      </c>
      <c r="AI38">
        <f>IF(StudentData[[#This Row],[G3]]&lt;StudentData[[#This Row],[G2]],1,0)</f>
        <v>0</v>
      </c>
      <c r="AJ38">
        <f>IF(StudentData[[#This Row],[failures]]&gt;=2,100,IF(StudentData[[#This Row],[failures]]=1,60,0))</f>
        <v>0</v>
      </c>
      <c r="AK38">
        <f>IF(StudentData[[#This Row],[absences]]&gt;15,80,IF(StudentData[[#This Row],[absences]]&gt;10,50,0))</f>
        <v>0</v>
      </c>
      <c r="AL38">
        <f>IF(StudentData[[#This Row],[studytime]]=1,70,IF(StudentData[[#This Row],[studytime]]=2,40,0))</f>
        <v>0</v>
      </c>
      <c r="AM38">
        <f>IF(StudentData[[#This Row],[GradeDrop]]=1,50,0)</f>
        <v>0</v>
      </c>
      <c r="AN38">
        <f>0.4*StudentData[[#This Row],[FailureScore]]+0.3*StudentData[[#This Row],[AbsenceScore]]+0.2*StudentData[[#This Row],[StudyRisk]]+0.1*StudentData[[#This Row],[TrendRisk]]</f>
        <v>0</v>
      </c>
      <c r="AO38" t="str">
        <f>IF(StudentData[[#This Row],[RiskIndex]]&lt;=30,"Low",IF(StudentData[[#This Row],[RiskIndex]]&lt;=60,"Medium","High"))</f>
        <v>Low</v>
      </c>
      <c r="AP38">
        <f>StudentData[[#This Row],[G3]]+('Intervention Simulator'!$C$2*1.5)</f>
        <v>14</v>
      </c>
      <c r="AQ38" t="str">
        <f>IF(StudentData[[#This Row],[ProjectedGrade]]&gt;=10,"Pass","Fail")</f>
        <v>Pass</v>
      </c>
    </row>
    <row r="39" spans="1:4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  <c r="AH39" t="str">
        <f>IF(StudentData[[#This Row],[G3]]&gt;=10,"Pass","Fail")</f>
        <v>Pass</v>
      </c>
      <c r="AI39">
        <f>IF(StudentData[[#This Row],[G3]]&lt;StudentData[[#This Row],[G2]],1,0)</f>
        <v>0</v>
      </c>
      <c r="AJ39">
        <f>IF(StudentData[[#This Row],[failures]]&gt;=2,100,IF(StudentData[[#This Row],[failures]]=1,60,0))</f>
        <v>0</v>
      </c>
      <c r="AK39">
        <f>IF(StudentData[[#This Row],[absences]]&gt;15,80,IF(StudentData[[#This Row],[absences]]&gt;10,50,0))</f>
        <v>0</v>
      </c>
      <c r="AL39">
        <f>IF(StudentData[[#This Row],[studytime]]=1,70,IF(StudentData[[#This Row],[studytime]]=2,40,0))</f>
        <v>0</v>
      </c>
      <c r="AM39">
        <f>IF(StudentData[[#This Row],[GradeDrop]]=1,50,0)</f>
        <v>0</v>
      </c>
      <c r="AN39">
        <f>0.4*StudentData[[#This Row],[FailureScore]]+0.3*StudentData[[#This Row],[AbsenceScore]]+0.2*StudentData[[#This Row],[StudyRisk]]+0.1*StudentData[[#This Row],[TrendRisk]]</f>
        <v>0</v>
      </c>
      <c r="AO39" t="str">
        <f>IF(StudentData[[#This Row],[RiskIndex]]&lt;=30,"Low",IF(StudentData[[#This Row],[RiskIndex]]&lt;=60,"Medium","High"))</f>
        <v>Low</v>
      </c>
      <c r="AP39">
        <f>StudentData[[#This Row],[G3]]+('Intervention Simulator'!$C$2*1.5)</f>
        <v>13</v>
      </c>
      <c r="AQ39" t="str">
        <f>IF(StudentData[[#This Row],[ProjectedGrade]]&gt;=10,"Pass","Fail")</f>
        <v>Pass</v>
      </c>
    </row>
    <row r="40" spans="1:4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  <c r="AH40" t="str">
        <f>IF(StudentData[[#This Row],[G3]]&gt;=10,"Pass","Fail")</f>
        <v>Pass</v>
      </c>
      <c r="AI40">
        <f>IF(StudentData[[#This Row],[G3]]&lt;StudentData[[#This Row],[G2]],1,0)</f>
        <v>0</v>
      </c>
      <c r="AJ40">
        <f>IF(StudentData[[#This Row],[failures]]&gt;=2,100,IF(StudentData[[#This Row],[failures]]=1,60,0))</f>
        <v>0</v>
      </c>
      <c r="AK40">
        <f>IF(StudentData[[#This Row],[absences]]&gt;15,80,IF(StudentData[[#This Row],[absences]]&gt;10,50,0))</f>
        <v>0</v>
      </c>
      <c r="AL40">
        <f>IF(StudentData[[#This Row],[studytime]]=1,70,IF(StudentData[[#This Row],[studytime]]=2,40,0))</f>
        <v>0</v>
      </c>
      <c r="AM40">
        <f>IF(StudentData[[#This Row],[GradeDrop]]=1,50,0)</f>
        <v>0</v>
      </c>
      <c r="AN40">
        <f>0.4*StudentData[[#This Row],[FailureScore]]+0.3*StudentData[[#This Row],[AbsenceScore]]+0.2*StudentData[[#This Row],[StudyRisk]]+0.1*StudentData[[#This Row],[TrendRisk]]</f>
        <v>0</v>
      </c>
      <c r="AO40" t="str">
        <f>IF(StudentData[[#This Row],[RiskIndex]]&lt;=30,"Low",IF(StudentData[[#This Row],[RiskIndex]]&lt;=60,"Medium","High"))</f>
        <v>Low</v>
      </c>
      <c r="AP40">
        <f>StudentData[[#This Row],[G3]]+('Intervention Simulator'!$C$2*1.5)</f>
        <v>12</v>
      </c>
      <c r="AQ40" t="str">
        <f>IF(StudentData[[#This Row],[ProjectedGrade]]&gt;=10,"Pass","Fail")</f>
        <v>Pass</v>
      </c>
    </row>
    <row r="41" spans="1:4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  <c r="AH41" t="str">
        <f>IF(StudentData[[#This Row],[G3]]&gt;=10,"Pass","Fail")</f>
        <v>Pass</v>
      </c>
      <c r="AI41">
        <f>IF(StudentData[[#This Row],[G3]]&lt;StudentData[[#This Row],[G2]],1,0)</f>
        <v>1</v>
      </c>
      <c r="AJ41">
        <f>IF(StudentData[[#This Row],[failures]]&gt;=2,100,IF(StudentData[[#This Row],[failures]]=1,60,0))</f>
        <v>0</v>
      </c>
      <c r="AK41">
        <f>IF(StudentData[[#This Row],[absences]]&gt;15,80,IF(StudentData[[#This Row],[absences]]&gt;10,50,0))</f>
        <v>0</v>
      </c>
      <c r="AL41">
        <f>IF(StudentData[[#This Row],[studytime]]=1,70,IF(StudentData[[#This Row],[studytime]]=2,40,0))</f>
        <v>70</v>
      </c>
      <c r="AM41">
        <f>IF(StudentData[[#This Row],[GradeDrop]]=1,50,0)</f>
        <v>50</v>
      </c>
      <c r="AN41">
        <f>0.4*StudentData[[#This Row],[FailureScore]]+0.3*StudentData[[#This Row],[AbsenceScore]]+0.2*StudentData[[#This Row],[StudyRisk]]+0.1*StudentData[[#This Row],[TrendRisk]]</f>
        <v>19</v>
      </c>
      <c r="AO41" t="str">
        <f>IF(StudentData[[#This Row],[RiskIndex]]&lt;=30,"Low",IF(StudentData[[#This Row],[RiskIndex]]&lt;=60,"Medium","High"))</f>
        <v>Low</v>
      </c>
      <c r="AP41">
        <f>StudentData[[#This Row],[G3]]+('Intervention Simulator'!$C$2*1.5)</f>
        <v>12</v>
      </c>
      <c r="AQ41" t="str">
        <f>IF(StudentData[[#This Row],[ProjectedGrade]]&gt;=10,"Pass","Fail")</f>
        <v>Pass</v>
      </c>
    </row>
    <row r="42" spans="1:4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  <c r="AH42" t="str">
        <f>IF(StudentData[[#This Row],[G3]]&gt;=10,"Pass","Fail")</f>
        <v>Pass</v>
      </c>
      <c r="AI42">
        <f>IF(StudentData[[#This Row],[G3]]&lt;StudentData[[#This Row],[G2]],1,0)</f>
        <v>1</v>
      </c>
      <c r="AJ42">
        <f>IF(StudentData[[#This Row],[failures]]&gt;=2,100,IF(StudentData[[#This Row],[failures]]=1,60,0))</f>
        <v>0</v>
      </c>
      <c r="AK42">
        <f>IF(StudentData[[#This Row],[absences]]&gt;15,80,IF(StudentData[[#This Row],[absences]]&gt;10,50,0))</f>
        <v>80</v>
      </c>
      <c r="AL42">
        <f>IF(StudentData[[#This Row],[studytime]]=1,70,IF(StudentData[[#This Row],[studytime]]=2,40,0))</f>
        <v>40</v>
      </c>
      <c r="AM42">
        <f>IF(StudentData[[#This Row],[GradeDrop]]=1,50,0)</f>
        <v>50</v>
      </c>
      <c r="AN42">
        <f>0.4*StudentData[[#This Row],[FailureScore]]+0.3*StudentData[[#This Row],[AbsenceScore]]+0.2*StudentData[[#This Row],[StudyRisk]]+0.1*StudentData[[#This Row],[TrendRisk]]</f>
        <v>37</v>
      </c>
      <c r="AO42" t="str">
        <f>IF(StudentData[[#This Row],[RiskIndex]]&lt;=30,"Low",IF(StudentData[[#This Row],[RiskIndex]]&lt;=60,"Medium","High"))</f>
        <v>Medium</v>
      </c>
      <c r="AP42">
        <f>StudentData[[#This Row],[G3]]+('Intervention Simulator'!$C$2*1.5)</f>
        <v>10</v>
      </c>
      <c r="AQ42" t="str">
        <f>IF(StudentData[[#This Row],[ProjectedGrade]]&gt;=10,"Pass","Fail")</f>
        <v>Pass</v>
      </c>
    </row>
    <row r="43" spans="1:4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  <c r="AH43" t="str">
        <f>IF(StudentData[[#This Row],[G3]]&gt;=10,"Pass","Fail")</f>
        <v>Pass</v>
      </c>
      <c r="AI43">
        <f>IF(StudentData[[#This Row],[G3]]&lt;StudentData[[#This Row],[G2]],1,0)</f>
        <v>0</v>
      </c>
      <c r="AJ43">
        <f>IF(StudentData[[#This Row],[failures]]&gt;=2,100,IF(StudentData[[#This Row],[failures]]=1,60,0))</f>
        <v>0</v>
      </c>
      <c r="AK43">
        <f>IF(StudentData[[#This Row],[absences]]&gt;15,80,IF(StudentData[[#This Row],[absences]]&gt;10,50,0))</f>
        <v>0</v>
      </c>
      <c r="AL43">
        <f>IF(StudentData[[#This Row],[studytime]]=1,70,IF(StudentData[[#This Row],[studytime]]=2,40,0))</f>
        <v>70</v>
      </c>
      <c r="AM43">
        <f>IF(StudentData[[#This Row],[GradeDrop]]=1,50,0)</f>
        <v>0</v>
      </c>
      <c r="AN43">
        <f>0.4*StudentData[[#This Row],[FailureScore]]+0.3*StudentData[[#This Row],[AbsenceScore]]+0.2*StudentData[[#This Row],[StudyRisk]]+0.1*StudentData[[#This Row],[TrendRisk]]</f>
        <v>14</v>
      </c>
      <c r="AO43" t="str">
        <f>IF(StudentData[[#This Row],[RiskIndex]]&lt;=30,"Low",IF(StudentData[[#This Row],[RiskIndex]]&lt;=60,"Medium","High"))</f>
        <v>Low</v>
      </c>
      <c r="AP43">
        <f>StudentData[[#This Row],[G3]]+('Intervention Simulator'!$C$2*1.5)</f>
        <v>11</v>
      </c>
      <c r="AQ43" t="str">
        <f>IF(StudentData[[#This Row],[ProjectedGrade]]&gt;=10,"Pass","Fail")</f>
        <v>Pass</v>
      </c>
    </row>
    <row r="44" spans="1:4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  <c r="AH44" t="str">
        <f>IF(StudentData[[#This Row],[G3]]&gt;=10,"Pass","Fail")</f>
        <v>Pass</v>
      </c>
      <c r="AI44">
        <f>IF(StudentData[[#This Row],[G3]]&lt;StudentData[[#This Row],[G2]],1,0)</f>
        <v>0</v>
      </c>
      <c r="AJ44">
        <f>IF(StudentData[[#This Row],[failures]]&gt;=2,100,IF(StudentData[[#This Row],[failures]]=1,60,0))</f>
        <v>0</v>
      </c>
      <c r="AK44">
        <f>IF(StudentData[[#This Row],[absences]]&gt;15,80,IF(StudentData[[#This Row],[absences]]&gt;10,50,0))</f>
        <v>0</v>
      </c>
      <c r="AL44">
        <f>IF(StudentData[[#This Row],[studytime]]=1,70,IF(StudentData[[#This Row],[studytime]]=2,40,0))</f>
        <v>40</v>
      </c>
      <c r="AM44">
        <f>IF(StudentData[[#This Row],[GradeDrop]]=1,50,0)</f>
        <v>0</v>
      </c>
      <c r="AN44">
        <f>0.4*StudentData[[#This Row],[FailureScore]]+0.3*StudentData[[#This Row],[AbsenceScore]]+0.2*StudentData[[#This Row],[StudyRisk]]+0.1*StudentData[[#This Row],[TrendRisk]]</f>
        <v>8</v>
      </c>
      <c r="AO44" t="str">
        <f>IF(StudentData[[#This Row],[RiskIndex]]&lt;=30,"Low",IF(StudentData[[#This Row],[RiskIndex]]&lt;=60,"Medium","High"))</f>
        <v>Low</v>
      </c>
      <c r="AP44">
        <f>StudentData[[#This Row],[G3]]+('Intervention Simulator'!$C$2*1.5)</f>
        <v>15</v>
      </c>
      <c r="AQ44" t="str">
        <f>IF(StudentData[[#This Row],[ProjectedGrade]]&gt;=10,"Pass","Fail")</f>
        <v>Pass</v>
      </c>
    </row>
    <row r="45" spans="1:4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  <c r="AH45" t="str">
        <f>IF(StudentData[[#This Row],[G3]]&gt;=10,"Pass","Fail")</f>
        <v>Pass</v>
      </c>
      <c r="AI45">
        <f>IF(StudentData[[#This Row],[G3]]&lt;StudentData[[#This Row],[G2]],1,0)</f>
        <v>0</v>
      </c>
      <c r="AJ45">
        <f>IF(StudentData[[#This Row],[failures]]&gt;=2,100,IF(StudentData[[#This Row],[failures]]=1,60,0))</f>
        <v>0</v>
      </c>
      <c r="AK45">
        <f>IF(StudentData[[#This Row],[absences]]&gt;15,80,IF(StudentData[[#This Row],[absences]]&gt;10,50,0))</f>
        <v>0</v>
      </c>
      <c r="AL45">
        <f>IF(StudentData[[#This Row],[studytime]]=1,70,IF(StudentData[[#This Row],[studytime]]=2,40,0))</f>
        <v>70</v>
      </c>
      <c r="AM45">
        <f>IF(StudentData[[#This Row],[GradeDrop]]=1,50,0)</f>
        <v>0</v>
      </c>
      <c r="AN45">
        <f>0.4*StudentData[[#This Row],[FailureScore]]+0.3*StudentData[[#This Row],[AbsenceScore]]+0.2*StudentData[[#This Row],[StudyRisk]]+0.1*StudentData[[#This Row],[TrendRisk]]</f>
        <v>14</v>
      </c>
      <c r="AO45" t="str">
        <f>IF(StudentData[[#This Row],[RiskIndex]]&lt;=30,"Low",IF(StudentData[[#This Row],[RiskIndex]]&lt;=60,"Medium","High"))</f>
        <v>Low</v>
      </c>
      <c r="AP45">
        <f>StudentData[[#This Row],[G3]]+('Intervention Simulator'!$C$2*1.5)</f>
        <v>10</v>
      </c>
      <c r="AQ45" t="str">
        <f>IF(StudentData[[#This Row],[ProjectedGrade]]&gt;=10,"Pass","Fail")</f>
        <v>Pass</v>
      </c>
    </row>
    <row r="46" spans="1:4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  <c r="AH46" t="str">
        <f>IF(StudentData[[#This Row],[G3]]&gt;=10,"Pass","Fail")</f>
        <v>Pass</v>
      </c>
      <c r="AI46">
        <f>IF(StudentData[[#This Row],[G3]]&lt;StudentData[[#This Row],[G2]],1,0)</f>
        <v>0</v>
      </c>
      <c r="AJ46">
        <f>IF(StudentData[[#This Row],[failures]]&gt;=2,100,IF(StudentData[[#This Row],[failures]]=1,60,0))</f>
        <v>60</v>
      </c>
      <c r="AK46">
        <f>IF(StudentData[[#This Row],[absences]]&gt;15,80,IF(StudentData[[#This Row],[absences]]&gt;10,50,0))</f>
        <v>50</v>
      </c>
      <c r="AL46">
        <f>IF(StudentData[[#This Row],[studytime]]=1,70,IF(StudentData[[#This Row],[studytime]]=2,40,0))</f>
        <v>40</v>
      </c>
      <c r="AM46">
        <f>IF(StudentData[[#This Row],[GradeDrop]]=1,50,0)</f>
        <v>0</v>
      </c>
      <c r="AN46">
        <f>0.4*StudentData[[#This Row],[FailureScore]]+0.3*StudentData[[#This Row],[AbsenceScore]]+0.2*StudentData[[#This Row],[StudyRisk]]+0.1*StudentData[[#This Row],[TrendRisk]]</f>
        <v>47</v>
      </c>
      <c r="AO46" t="str">
        <f>IF(StudentData[[#This Row],[RiskIndex]]&lt;=30,"Low",IF(StudentData[[#This Row],[RiskIndex]]&lt;=60,"Medium","High"))</f>
        <v>Medium</v>
      </c>
      <c r="AP46">
        <f>StudentData[[#This Row],[G3]]+('Intervention Simulator'!$C$2*1.5)</f>
        <v>11</v>
      </c>
      <c r="AQ46" t="str">
        <f>IF(StudentData[[#This Row],[ProjectedGrade]]&gt;=10,"Pass","Fail")</f>
        <v>Pass</v>
      </c>
    </row>
    <row r="47" spans="1:4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  <c r="AH47" t="str">
        <f>IF(StudentData[[#This Row],[G3]]&gt;=10,"Pass","Fail")</f>
        <v>Pass</v>
      </c>
      <c r="AI47">
        <f>IF(StudentData[[#This Row],[G3]]&lt;StudentData[[#This Row],[G2]],1,0)</f>
        <v>0</v>
      </c>
      <c r="AJ47">
        <f>IF(StudentData[[#This Row],[failures]]&gt;=2,100,IF(StudentData[[#This Row],[failures]]=1,60,0))</f>
        <v>0</v>
      </c>
      <c r="AK47">
        <f>IF(StudentData[[#This Row],[absences]]&gt;15,80,IF(StudentData[[#This Row],[absences]]&gt;10,50,0))</f>
        <v>0</v>
      </c>
      <c r="AL47">
        <f>IF(StudentData[[#This Row],[studytime]]=1,70,IF(StudentData[[#This Row],[studytime]]=2,40,0))</f>
        <v>40</v>
      </c>
      <c r="AM47">
        <f>IF(StudentData[[#This Row],[GradeDrop]]=1,50,0)</f>
        <v>0</v>
      </c>
      <c r="AN47">
        <f>0.4*StudentData[[#This Row],[FailureScore]]+0.3*StudentData[[#This Row],[AbsenceScore]]+0.2*StudentData[[#This Row],[StudyRisk]]+0.1*StudentData[[#This Row],[TrendRisk]]</f>
        <v>8</v>
      </c>
      <c r="AO47" t="str">
        <f>IF(StudentData[[#This Row],[RiskIndex]]&lt;=30,"Low",IF(StudentData[[#This Row],[RiskIndex]]&lt;=60,"Medium","High"))</f>
        <v>Low</v>
      </c>
      <c r="AP47">
        <f>StudentData[[#This Row],[G3]]+('Intervention Simulator'!$C$2*1.5)</f>
        <v>11</v>
      </c>
      <c r="AQ47" t="str">
        <f>IF(StudentData[[#This Row],[ProjectedGrade]]&gt;=10,"Pass","Fail")</f>
        <v>Pass</v>
      </c>
    </row>
    <row r="48" spans="1:4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  <c r="AH48" t="str">
        <f>IF(StudentData[[#This Row],[G3]]&gt;=10,"Pass","Fail")</f>
        <v>Pass</v>
      </c>
      <c r="AI48">
        <f>IF(StudentData[[#This Row],[G3]]&lt;StudentData[[#This Row],[G2]],1,0)</f>
        <v>0</v>
      </c>
      <c r="AJ48">
        <f>IF(StudentData[[#This Row],[failures]]&gt;=2,100,IF(StudentData[[#This Row],[failures]]=1,60,0))</f>
        <v>0</v>
      </c>
      <c r="AK48">
        <f>IF(StudentData[[#This Row],[absences]]&gt;15,80,IF(StudentData[[#This Row],[absences]]&gt;10,50,0))</f>
        <v>0</v>
      </c>
      <c r="AL48">
        <f>IF(StudentData[[#This Row],[studytime]]=1,70,IF(StudentData[[#This Row],[studytime]]=2,40,0))</f>
        <v>40</v>
      </c>
      <c r="AM48">
        <f>IF(StudentData[[#This Row],[GradeDrop]]=1,50,0)</f>
        <v>0</v>
      </c>
      <c r="AN48">
        <f>0.4*StudentData[[#This Row],[FailureScore]]+0.3*StudentData[[#This Row],[AbsenceScore]]+0.2*StudentData[[#This Row],[StudyRisk]]+0.1*StudentData[[#This Row],[TrendRisk]]</f>
        <v>8</v>
      </c>
      <c r="AO48" t="str">
        <f>IF(StudentData[[#This Row],[RiskIndex]]&lt;=30,"Low",IF(StudentData[[#This Row],[RiskIndex]]&lt;=60,"Medium","High"))</f>
        <v>Low</v>
      </c>
      <c r="AP48">
        <f>StudentData[[#This Row],[G3]]+('Intervention Simulator'!$C$2*1.5)</f>
        <v>13</v>
      </c>
      <c r="AQ48" t="str">
        <f>IF(StudentData[[#This Row],[ProjectedGrade]]&gt;=10,"Pass","Fail")</f>
        <v>Pass</v>
      </c>
    </row>
    <row r="49" spans="1:4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  <c r="AH49" t="str">
        <f>IF(StudentData[[#This Row],[G3]]&gt;=10,"Pass","Fail")</f>
        <v>Pass</v>
      </c>
      <c r="AI49">
        <f>IF(StudentData[[#This Row],[G3]]&lt;StudentData[[#This Row],[G2]],1,0)</f>
        <v>0</v>
      </c>
      <c r="AJ49">
        <f>IF(StudentData[[#This Row],[failures]]&gt;=2,100,IF(StudentData[[#This Row],[failures]]=1,60,0))</f>
        <v>0</v>
      </c>
      <c r="AK49">
        <f>IF(StudentData[[#This Row],[absences]]&gt;15,80,IF(StudentData[[#This Row],[absences]]&gt;10,50,0))</f>
        <v>0</v>
      </c>
      <c r="AL49">
        <f>IF(StudentData[[#This Row],[studytime]]=1,70,IF(StudentData[[#This Row],[studytime]]=2,40,0))</f>
        <v>0</v>
      </c>
      <c r="AM49">
        <f>IF(StudentData[[#This Row],[GradeDrop]]=1,50,0)</f>
        <v>0</v>
      </c>
      <c r="AN49">
        <f>0.4*StudentData[[#This Row],[FailureScore]]+0.3*StudentData[[#This Row],[AbsenceScore]]+0.2*StudentData[[#This Row],[StudyRisk]]+0.1*StudentData[[#This Row],[TrendRisk]]</f>
        <v>0</v>
      </c>
      <c r="AO49" t="str">
        <f>IF(StudentData[[#This Row],[RiskIndex]]&lt;=30,"Low",IF(StudentData[[#This Row],[RiskIndex]]&lt;=60,"Medium","High"))</f>
        <v>Low</v>
      </c>
      <c r="AP49">
        <f>StudentData[[#This Row],[G3]]+('Intervention Simulator'!$C$2*1.5)</f>
        <v>17</v>
      </c>
      <c r="AQ49" t="str">
        <f>IF(StudentData[[#This Row],[ProjectedGrade]]&gt;=10,"Pass","Fail")</f>
        <v>Pass</v>
      </c>
    </row>
    <row r="50" spans="1:4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  <c r="AH50" t="str">
        <f>IF(StudentData[[#This Row],[G3]]&gt;=10,"Pass","Fail")</f>
        <v>Pass</v>
      </c>
      <c r="AI50">
        <f>IF(StudentData[[#This Row],[G3]]&lt;StudentData[[#This Row],[G2]],1,0)</f>
        <v>0</v>
      </c>
      <c r="AJ50">
        <f>IF(StudentData[[#This Row],[failures]]&gt;=2,100,IF(StudentData[[#This Row],[failures]]=1,60,0))</f>
        <v>0</v>
      </c>
      <c r="AK50">
        <f>IF(StudentData[[#This Row],[absences]]&gt;15,80,IF(StudentData[[#This Row],[absences]]&gt;10,50,0))</f>
        <v>0</v>
      </c>
      <c r="AL50">
        <f>IF(StudentData[[#This Row],[studytime]]=1,70,IF(StudentData[[#This Row],[studytime]]=2,40,0))</f>
        <v>40</v>
      </c>
      <c r="AM50">
        <f>IF(StudentData[[#This Row],[GradeDrop]]=1,50,0)</f>
        <v>0</v>
      </c>
      <c r="AN50">
        <f>0.4*StudentData[[#This Row],[FailureScore]]+0.3*StudentData[[#This Row],[AbsenceScore]]+0.2*StudentData[[#This Row],[StudyRisk]]+0.1*StudentData[[#This Row],[TrendRisk]]</f>
        <v>8</v>
      </c>
      <c r="AO50" t="str">
        <f>IF(StudentData[[#This Row],[RiskIndex]]&lt;=30,"Low",IF(StudentData[[#This Row],[RiskIndex]]&lt;=60,"Medium","High"))</f>
        <v>Low</v>
      </c>
      <c r="AP50">
        <f>StudentData[[#This Row],[G3]]+('Intervention Simulator'!$C$2*1.5)</f>
        <v>13</v>
      </c>
      <c r="AQ50" t="str">
        <f>IF(StudentData[[#This Row],[ProjectedGrade]]&gt;=10,"Pass","Fail")</f>
        <v>Pass</v>
      </c>
    </row>
    <row r="51" spans="1:4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  <c r="AH51" t="str">
        <f>IF(StudentData[[#This Row],[G3]]&gt;=10,"Pass","Fail")</f>
        <v>Pass</v>
      </c>
      <c r="AI51">
        <f>IF(StudentData[[#This Row],[G3]]&lt;StudentData[[#This Row],[G2]],1,0)</f>
        <v>0</v>
      </c>
      <c r="AJ51">
        <f>IF(StudentData[[#This Row],[failures]]&gt;=2,100,IF(StudentData[[#This Row],[failures]]=1,60,0))</f>
        <v>0</v>
      </c>
      <c r="AK51">
        <f>IF(StudentData[[#This Row],[absences]]&gt;15,80,IF(StudentData[[#This Row],[absences]]&gt;10,50,0))</f>
        <v>0</v>
      </c>
      <c r="AL51">
        <f>IF(StudentData[[#This Row],[studytime]]=1,70,IF(StudentData[[#This Row],[studytime]]=2,40,0))</f>
        <v>40</v>
      </c>
      <c r="AM51">
        <f>IF(StudentData[[#This Row],[GradeDrop]]=1,50,0)</f>
        <v>0</v>
      </c>
      <c r="AN51">
        <f>0.4*StudentData[[#This Row],[FailureScore]]+0.3*StudentData[[#This Row],[AbsenceScore]]+0.2*StudentData[[#This Row],[StudyRisk]]+0.1*StudentData[[#This Row],[TrendRisk]]</f>
        <v>8</v>
      </c>
      <c r="AO51" t="str">
        <f>IF(StudentData[[#This Row],[RiskIndex]]&lt;=30,"Low",IF(StudentData[[#This Row],[RiskIndex]]&lt;=60,"Medium","High"))</f>
        <v>Low</v>
      </c>
      <c r="AP51">
        <f>StudentData[[#This Row],[G3]]+('Intervention Simulator'!$C$2*1.5)</f>
        <v>12</v>
      </c>
      <c r="AQ51" t="str">
        <f>IF(StudentData[[#This Row],[ProjectedGrade]]&gt;=10,"Pass","Fail")</f>
        <v>Pass</v>
      </c>
    </row>
    <row r="52" spans="1:4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  <c r="AH52" t="str">
        <f>IF(StudentData[[#This Row],[G3]]&gt;=10,"Pass","Fail")</f>
        <v>Pass</v>
      </c>
      <c r="AI52">
        <f>IF(StudentData[[#This Row],[G3]]&lt;StudentData[[#This Row],[G2]],1,0)</f>
        <v>0</v>
      </c>
      <c r="AJ52">
        <f>IF(StudentData[[#This Row],[failures]]&gt;=2,100,IF(StudentData[[#This Row],[failures]]=1,60,0))</f>
        <v>0</v>
      </c>
      <c r="AK52">
        <f>IF(StudentData[[#This Row],[absences]]&gt;15,80,IF(StudentData[[#This Row],[absences]]&gt;10,50,0))</f>
        <v>0</v>
      </c>
      <c r="AL52">
        <f>IF(StudentData[[#This Row],[studytime]]=1,70,IF(StudentData[[#This Row],[studytime]]=2,40,0))</f>
        <v>40</v>
      </c>
      <c r="AM52">
        <f>IF(StudentData[[#This Row],[GradeDrop]]=1,50,0)</f>
        <v>0</v>
      </c>
      <c r="AN52">
        <f>0.4*StudentData[[#This Row],[FailureScore]]+0.3*StudentData[[#This Row],[AbsenceScore]]+0.2*StudentData[[#This Row],[StudyRisk]]+0.1*StudentData[[#This Row],[TrendRisk]]</f>
        <v>8</v>
      </c>
      <c r="AO52" t="str">
        <f>IF(StudentData[[#This Row],[RiskIndex]]&lt;=30,"Low",IF(StudentData[[#This Row],[RiskIndex]]&lt;=60,"Medium","High"))</f>
        <v>Low</v>
      </c>
      <c r="AP52">
        <f>StudentData[[#This Row],[G3]]+('Intervention Simulator'!$C$2*1.5)</f>
        <v>13</v>
      </c>
      <c r="AQ52" t="str">
        <f>IF(StudentData[[#This Row],[ProjectedGrade]]&gt;=10,"Pass","Fail")</f>
        <v>Pass</v>
      </c>
    </row>
    <row r="53" spans="1:4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  <c r="AH53" t="str">
        <f>IF(StudentData[[#This Row],[G3]]&gt;=10,"Pass","Fail")</f>
        <v>Pass</v>
      </c>
      <c r="AI53">
        <f>IF(StudentData[[#This Row],[G3]]&lt;StudentData[[#This Row],[G2]],1,0)</f>
        <v>0</v>
      </c>
      <c r="AJ53">
        <f>IF(StudentData[[#This Row],[failures]]&gt;=2,100,IF(StudentData[[#This Row],[failures]]=1,60,0))</f>
        <v>0</v>
      </c>
      <c r="AK53">
        <f>IF(StudentData[[#This Row],[absences]]&gt;15,80,IF(StudentData[[#This Row],[absences]]&gt;10,50,0))</f>
        <v>0</v>
      </c>
      <c r="AL53">
        <f>IF(StudentData[[#This Row],[studytime]]=1,70,IF(StudentData[[#This Row],[studytime]]=2,40,0))</f>
        <v>40</v>
      </c>
      <c r="AM53">
        <f>IF(StudentData[[#This Row],[GradeDrop]]=1,50,0)</f>
        <v>0</v>
      </c>
      <c r="AN53">
        <f>0.4*StudentData[[#This Row],[FailureScore]]+0.3*StudentData[[#This Row],[AbsenceScore]]+0.2*StudentData[[#This Row],[StudyRisk]]+0.1*StudentData[[#This Row],[TrendRisk]]</f>
        <v>8</v>
      </c>
      <c r="AO53" t="str">
        <f>IF(StudentData[[#This Row],[RiskIndex]]&lt;=30,"Low",IF(StudentData[[#This Row],[RiskIndex]]&lt;=60,"Medium","High"))</f>
        <v>Low</v>
      </c>
      <c r="AP53">
        <f>StudentData[[#This Row],[G3]]+('Intervention Simulator'!$C$2*1.5)</f>
        <v>16</v>
      </c>
      <c r="AQ53" t="str">
        <f>IF(StudentData[[#This Row],[ProjectedGrade]]&gt;=10,"Pass","Fail")</f>
        <v>Pass</v>
      </c>
    </row>
    <row r="54" spans="1:4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  <c r="AH54" t="str">
        <f>IF(StudentData[[#This Row],[G3]]&gt;=10,"Pass","Fail")</f>
        <v>Fail</v>
      </c>
      <c r="AI54">
        <f>IF(StudentData[[#This Row],[G3]]&lt;StudentData[[#This Row],[G2]],1,0)</f>
        <v>0</v>
      </c>
      <c r="AJ54">
        <f>IF(StudentData[[#This Row],[failures]]&gt;=2,100,IF(StudentData[[#This Row],[failures]]=1,60,0))</f>
        <v>0</v>
      </c>
      <c r="AK54">
        <f>IF(StudentData[[#This Row],[absences]]&gt;15,80,IF(StudentData[[#This Row],[absences]]&gt;10,50,0))</f>
        <v>0</v>
      </c>
      <c r="AL54">
        <f>IF(StudentData[[#This Row],[studytime]]=1,70,IF(StudentData[[#This Row],[studytime]]=2,40,0))</f>
        <v>70</v>
      </c>
      <c r="AM54">
        <f>IF(StudentData[[#This Row],[GradeDrop]]=1,50,0)</f>
        <v>0</v>
      </c>
      <c r="AN54">
        <f>0.4*StudentData[[#This Row],[FailureScore]]+0.3*StudentData[[#This Row],[AbsenceScore]]+0.2*StudentData[[#This Row],[StudyRisk]]+0.1*StudentData[[#This Row],[TrendRisk]]</f>
        <v>14</v>
      </c>
      <c r="AO54" t="str">
        <f>IF(StudentData[[#This Row],[RiskIndex]]&lt;=30,"Low",IF(StudentData[[#This Row],[RiskIndex]]&lt;=60,"Medium","High"))</f>
        <v>Low</v>
      </c>
      <c r="AP54">
        <f>StudentData[[#This Row],[G3]]+('Intervention Simulator'!$C$2*1.5)</f>
        <v>9</v>
      </c>
      <c r="AQ54" t="str">
        <f>IF(StudentData[[#This Row],[ProjectedGrade]]&gt;=10,"Pass","Fail")</f>
        <v>Fail</v>
      </c>
    </row>
    <row r="55" spans="1:4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  <c r="AH55" t="str">
        <f>IF(StudentData[[#This Row],[G3]]&gt;=10,"Pass","Fail")</f>
        <v>Pass</v>
      </c>
      <c r="AI55">
        <f>IF(StudentData[[#This Row],[G3]]&lt;StudentData[[#This Row],[G2]],1,0)</f>
        <v>0</v>
      </c>
      <c r="AJ55">
        <f>IF(StudentData[[#This Row],[failures]]&gt;=2,100,IF(StudentData[[#This Row],[failures]]=1,60,0))</f>
        <v>0</v>
      </c>
      <c r="AK55">
        <f>IF(StudentData[[#This Row],[absences]]&gt;15,80,IF(StudentData[[#This Row],[absences]]&gt;10,50,0))</f>
        <v>0</v>
      </c>
      <c r="AL55">
        <f>IF(StudentData[[#This Row],[studytime]]=1,70,IF(StudentData[[#This Row],[studytime]]=2,40,0))</f>
        <v>70</v>
      </c>
      <c r="AM55">
        <f>IF(StudentData[[#This Row],[GradeDrop]]=1,50,0)</f>
        <v>0</v>
      </c>
      <c r="AN55">
        <f>0.4*StudentData[[#This Row],[FailureScore]]+0.3*StudentData[[#This Row],[AbsenceScore]]+0.2*StudentData[[#This Row],[StudyRisk]]+0.1*StudentData[[#This Row],[TrendRisk]]</f>
        <v>14</v>
      </c>
      <c r="AO55" t="str">
        <f>IF(StudentData[[#This Row],[RiskIndex]]&lt;=30,"Low",IF(StudentData[[#This Row],[RiskIndex]]&lt;=60,"Medium","High"))</f>
        <v>Low</v>
      </c>
      <c r="AP55">
        <f>StudentData[[#This Row],[G3]]+('Intervention Simulator'!$C$2*1.5)</f>
        <v>12</v>
      </c>
      <c r="AQ55" t="str">
        <f>IF(StudentData[[#This Row],[ProjectedGrade]]&gt;=10,"Pass","Fail")</f>
        <v>Pass</v>
      </c>
    </row>
    <row r="56" spans="1:4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  <c r="AH56" t="str">
        <f>IF(StudentData[[#This Row],[G3]]&gt;=10,"Pass","Fail")</f>
        <v>Pass</v>
      </c>
      <c r="AI56">
        <f>IF(StudentData[[#This Row],[G3]]&lt;StudentData[[#This Row],[G2]],1,0)</f>
        <v>0</v>
      </c>
      <c r="AJ56">
        <f>IF(StudentData[[#This Row],[failures]]&gt;=2,100,IF(StudentData[[#This Row],[failures]]=1,60,0))</f>
        <v>0</v>
      </c>
      <c r="AK56">
        <f>IF(StudentData[[#This Row],[absences]]&gt;15,80,IF(StudentData[[#This Row],[absences]]&gt;10,50,0))</f>
        <v>0</v>
      </c>
      <c r="AL56">
        <f>IF(StudentData[[#This Row],[studytime]]=1,70,IF(StudentData[[#This Row],[studytime]]=2,40,0))</f>
        <v>70</v>
      </c>
      <c r="AM56">
        <f>IF(StudentData[[#This Row],[GradeDrop]]=1,50,0)</f>
        <v>0</v>
      </c>
      <c r="AN56">
        <f>0.4*StudentData[[#This Row],[FailureScore]]+0.3*StudentData[[#This Row],[AbsenceScore]]+0.2*StudentData[[#This Row],[StudyRisk]]+0.1*StudentData[[#This Row],[TrendRisk]]</f>
        <v>14</v>
      </c>
      <c r="AO56" t="str">
        <f>IF(StudentData[[#This Row],[RiskIndex]]&lt;=30,"Low",IF(StudentData[[#This Row],[RiskIndex]]&lt;=60,"Medium","High"))</f>
        <v>Low</v>
      </c>
      <c r="AP56">
        <f>StudentData[[#This Row],[G3]]+('Intervention Simulator'!$C$2*1.5)</f>
        <v>13</v>
      </c>
      <c r="AQ56" t="str">
        <f>IF(StudentData[[#This Row],[ProjectedGrade]]&gt;=10,"Pass","Fail")</f>
        <v>Pass</v>
      </c>
    </row>
    <row r="57" spans="1:4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  <c r="AH57" t="str">
        <f>IF(StudentData[[#This Row],[G3]]&gt;=10,"Pass","Fail")</f>
        <v>Pass</v>
      </c>
      <c r="AI57">
        <f>IF(StudentData[[#This Row],[G3]]&lt;StudentData[[#This Row],[G2]],1,0)</f>
        <v>1</v>
      </c>
      <c r="AJ57">
        <f>IF(StudentData[[#This Row],[failures]]&gt;=2,100,IF(StudentData[[#This Row],[failures]]=1,60,0))</f>
        <v>0</v>
      </c>
      <c r="AK57">
        <f>IF(StudentData[[#This Row],[absences]]&gt;15,80,IF(StudentData[[#This Row],[absences]]&gt;10,50,0))</f>
        <v>0</v>
      </c>
      <c r="AL57">
        <f>IF(StudentData[[#This Row],[studytime]]=1,70,IF(StudentData[[#This Row],[studytime]]=2,40,0))</f>
        <v>40</v>
      </c>
      <c r="AM57">
        <f>IF(StudentData[[#This Row],[GradeDrop]]=1,50,0)</f>
        <v>50</v>
      </c>
      <c r="AN57">
        <f>0.4*StudentData[[#This Row],[FailureScore]]+0.3*StudentData[[#This Row],[AbsenceScore]]+0.2*StudentData[[#This Row],[StudyRisk]]+0.1*StudentData[[#This Row],[TrendRisk]]</f>
        <v>13</v>
      </c>
      <c r="AO57" t="str">
        <f>IF(StudentData[[#This Row],[RiskIndex]]&lt;=30,"Low",IF(StudentData[[#This Row],[RiskIndex]]&lt;=60,"Medium","High"))</f>
        <v>Low</v>
      </c>
      <c r="AP57">
        <f>StudentData[[#This Row],[G3]]+('Intervention Simulator'!$C$2*1.5)</f>
        <v>12</v>
      </c>
      <c r="AQ57" t="str">
        <f>IF(StudentData[[#This Row],[ProjectedGrade]]&gt;=10,"Pass","Fail")</f>
        <v>Pass</v>
      </c>
    </row>
    <row r="58" spans="1:4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  <c r="AH58" t="str">
        <f>IF(StudentData[[#This Row],[G3]]&gt;=10,"Pass","Fail")</f>
        <v>Pass</v>
      </c>
      <c r="AI58">
        <f>IF(StudentData[[#This Row],[G3]]&lt;StudentData[[#This Row],[G2]],1,0)</f>
        <v>0</v>
      </c>
      <c r="AJ58">
        <f>IF(StudentData[[#This Row],[failures]]&gt;=2,100,IF(StudentData[[#This Row],[failures]]=1,60,0))</f>
        <v>0</v>
      </c>
      <c r="AK58">
        <f>IF(StudentData[[#This Row],[absences]]&gt;15,80,IF(StudentData[[#This Row],[absences]]&gt;10,50,0))</f>
        <v>0</v>
      </c>
      <c r="AL58">
        <f>IF(StudentData[[#This Row],[studytime]]=1,70,IF(StudentData[[#This Row],[studytime]]=2,40,0))</f>
        <v>40</v>
      </c>
      <c r="AM58">
        <f>IF(StudentData[[#This Row],[GradeDrop]]=1,50,0)</f>
        <v>0</v>
      </c>
      <c r="AN58">
        <f>0.4*StudentData[[#This Row],[FailureScore]]+0.3*StudentData[[#This Row],[AbsenceScore]]+0.2*StudentData[[#This Row],[StudyRisk]]+0.1*StudentData[[#This Row],[TrendRisk]]</f>
        <v>8</v>
      </c>
      <c r="AO58" t="str">
        <f>IF(StudentData[[#This Row],[RiskIndex]]&lt;=30,"Low",IF(StudentData[[#This Row],[RiskIndex]]&lt;=60,"Medium","High"))</f>
        <v>Low</v>
      </c>
      <c r="AP58">
        <f>StudentData[[#This Row],[G3]]+('Intervention Simulator'!$C$2*1.5)</f>
        <v>15</v>
      </c>
      <c r="AQ58" t="str">
        <f>IF(StudentData[[#This Row],[ProjectedGrade]]&gt;=10,"Pass","Fail")</f>
        <v>Pass</v>
      </c>
    </row>
    <row r="59" spans="1:4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  <c r="AH59" t="str">
        <f>IF(StudentData[[#This Row],[G3]]&gt;=10,"Pass","Fail")</f>
        <v>Pass</v>
      </c>
      <c r="AI59">
        <f>IF(StudentData[[#This Row],[G3]]&lt;StudentData[[#This Row],[G2]],1,0)</f>
        <v>0</v>
      </c>
      <c r="AJ59">
        <f>IF(StudentData[[#This Row],[failures]]&gt;=2,100,IF(StudentData[[#This Row],[failures]]=1,60,0))</f>
        <v>0</v>
      </c>
      <c r="AK59">
        <f>IF(StudentData[[#This Row],[absences]]&gt;15,80,IF(StudentData[[#This Row],[absences]]&gt;10,50,0))</f>
        <v>0</v>
      </c>
      <c r="AL59">
        <f>IF(StudentData[[#This Row],[studytime]]=1,70,IF(StudentData[[#This Row],[studytime]]=2,40,0))</f>
        <v>40</v>
      </c>
      <c r="AM59">
        <f>IF(StudentData[[#This Row],[GradeDrop]]=1,50,0)</f>
        <v>0</v>
      </c>
      <c r="AN59">
        <f>0.4*StudentData[[#This Row],[FailureScore]]+0.3*StudentData[[#This Row],[AbsenceScore]]+0.2*StudentData[[#This Row],[StudyRisk]]+0.1*StudentData[[#This Row],[TrendRisk]]</f>
        <v>8</v>
      </c>
      <c r="AO59" t="str">
        <f>IF(StudentData[[#This Row],[RiskIndex]]&lt;=30,"Low",IF(StudentData[[#This Row],[RiskIndex]]&lt;=60,"Medium","High"))</f>
        <v>Low</v>
      </c>
      <c r="AP59">
        <f>StudentData[[#This Row],[G3]]+('Intervention Simulator'!$C$2*1.5)</f>
        <v>16</v>
      </c>
      <c r="AQ59" t="str">
        <f>IF(StudentData[[#This Row],[ProjectedGrade]]&gt;=10,"Pass","Fail")</f>
        <v>Pass</v>
      </c>
    </row>
    <row r="60" spans="1:4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  <c r="AH60" t="str">
        <f>IF(StudentData[[#This Row],[G3]]&gt;=10,"Pass","Fail")</f>
        <v>Pass</v>
      </c>
      <c r="AI60">
        <f>IF(StudentData[[#This Row],[G3]]&lt;StudentData[[#This Row],[G2]],1,0)</f>
        <v>0</v>
      </c>
      <c r="AJ60">
        <f>IF(StudentData[[#This Row],[failures]]&gt;=2,100,IF(StudentData[[#This Row],[failures]]=1,60,0))</f>
        <v>0</v>
      </c>
      <c r="AK60">
        <f>IF(StudentData[[#This Row],[absences]]&gt;15,80,IF(StudentData[[#This Row],[absences]]&gt;10,50,0))</f>
        <v>0</v>
      </c>
      <c r="AL60">
        <f>IF(StudentData[[#This Row],[studytime]]=1,70,IF(StudentData[[#This Row],[studytime]]=2,40,0))</f>
        <v>40</v>
      </c>
      <c r="AM60">
        <f>IF(StudentData[[#This Row],[GradeDrop]]=1,50,0)</f>
        <v>0</v>
      </c>
      <c r="AN60">
        <f>0.4*StudentData[[#This Row],[FailureScore]]+0.3*StudentData[[#This Row],[AbsenceScore]]+0.2*StudentData[[#This Row],[StudyRisk]]+0.1*StudentData[[#This Row],[TrendRisk]]</f>
        <v>8</v>
      </c>
      <c r="AO60" t="str">
        <f>IF(StudentData[[#This Row],[RiskIndex]]&lt;=30,"Low",IF(StudentData[[#This Row],[RiskIndex]]&lt;=60,"Medium","High"))</f>
        <v>Low</v>
      </c>
      <c r="AP60">
        <f>StudentData[[#This Row],[G3]]+('Intervention Simulator'!$C$2*1.5)</f>
        <v>14</v>
      </c>
      <c r="AQ60" t="str">
        <f>IF(StudentData[[#This Row],[ProjectedGrade]]&gt;=10,"Pass","Fail")</f>
        <v>Pass</v>
      </c>
    </row>
    <row r="61" spans="1:4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  <c r="AH61" t="str">
        <f>IF(StudentData[[#This Row],[G3]]&gt;=10,"Pass","Fail")</f>
        <v>Pass</v>
      </c>
      <c r="AI61">
        <f>IF(StudentData[[#This Row],[G3]]&lt;StudentData[[#This Row],[G2]],1,0)</f>
        <v>0</v>
      </c>
      <c r="AJ61">
        <f>IF(StudentData[[#This Row],[failures]]&gt;=2,100,IF(StudentData[[#This Row],[failures]]=1,60,0))</f>
        <v>0</v>
      </c>
      <c r="AK61">
        <f>IF(StudentData[[#This Row],[absences]]&gt;15,80,IF(StudentData[[#This Row],[absences]]&gt;10,50,0))</f>
        <v>0</v>
      </c>
      <c r="AL61">
        <f>IF(StudentData[[#This Row],[studytime]]=1,70,IF(StudentData[[#This Row],[studytime]]=2,40,0))</f>
        <v>40</v>
      </c>
      <c r="AM61">
        <f>IF(StudentData[[#This Row],[GradeDrop]]=1,50,0)</f>
        <v>0</v>
      </c>
      <c r="AN61">
        <f>0.4*StudentData[[#This Row],[FailureScore]]+0.3*StudentData[[#This Row],[AbsenceScore]]+0.2*StudentData[[#This Row],[StudyRisk]]+0.1*StudentData[[#This Row],[TrendRisk]]</f>
        <v>8</v>
      </c>
      <c r="AO61" t="str">
        <f>IF(StudentData[[#This Row],[RiskIndex]]&lt;=30,"Low",IF(StudentData[[#This Row],[RiskIndex]]&lt;=60,"Medium","High"))</f>
        <v>Low</v>
      </c>
      <c r="AP61">
        <f>StudentData[[#This Row],[G3]]+('Intervention Simulator'!$C$2*1.5)</f>
        <v>16</v>
      </c>
      <c r="AQ61" t="str">
        <f>IF(StudentData[[#This Row],[ProjectedGrade]]&gt;=10,"Pass","Fail")</f>
        <v>Pass</v>
      </c>
    </row>
    <row r="62" spans="1:4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  <c r="AH62" t="str">
        <f>IF(StudentData[[#This Row],[G3]]&gt;=10,"Pass","Fail")</f>
        <v>Pass</v>
      </c>
      <c r="AI62">
        <f>IF(StudentData[[#This Row],[G3]]&lt;StudentData[[#This Row],[G2]],1,0)</f>
        <v>0</v>
      </c>
      <c r="AJ62">
        <f>IF(StudentData[[#This Row],[failures]]&gt;=2,100,IF(StudentData[[#This Row],[failures]]=1,60,0))</f>
        <v>0</v>
      </c>
      <c r="AK62">
        <f>IF(StudentData[[#This Row],[absences]]&gt;15,80,IF(StudentData[[#This Row],[absences]]&gt;10,50,0))</f>
        <v>0</v>
      </c>
      <c r="AL62">
        <f>IF(StudentData[[#This Row],[studytime]]=1,70,IF(StudentData[[#This Row],[studytime]]=2,40,0))</f>
        <v>40</v>
      </c>
      <c r="AM62">
        <f>IF(StudentData[[#This Row],[GradeDrop]]=1,50,0)</f>
        <v>0</v>
      </c>
      <c r="AN62">
        <f>0.4*StudentData[[#This Row],[FailureScore]]+0.3*StudentData[[#This Row],[AbsenceScore]]+0.2*StudentData[[#This Row],[StudyRisk]]+0.1*StudentData[[#This Row],[TrendRisk]]</f>
        <v>8</v>
      </c>
      <c r="AO62" t="str">
        <f>IF(StudentData[[#This Row],[RiskIndex]]&lt;=30,"Low",IF(StudentData[[#This Row],[RiskIndex]]&lt;=60,"Medium","High"))</f>
        <v>Low</v>
      </c>
      <c r="AP62">
        <f>StudentData[[#This Row],[G3]]+('Intervention Simulator'!$C$2*1.5)</f>
        <v>16</v>
      </c>
      <c r="AQ62" t="str">
        <f>IF(StudentData[[#This Row],[ProjectedGrade]]&gt;=10,"Pass","Fail")</f>
        <v>Pass</v>
      </c>
    </row>
    <row r="63" spans="1:4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  <c r="AH63" t="str">
        <f>IF(StudentData[[#This Row],[G3]]&gt;=10,"Pass","Fail")</f>
        <v>Pass</v>
      </c>
      <c r="AI63">
        <f>IF(StudentData[[#This Row],[G3]]&lt;StudentData[[#This Row],[G2]],1,0)</f>
        <v>0</v>
      </c>
      <c r="AJ63">
        <f>IF(StudentData[[#This Row],[failures]]&gt;=2,100,IF(StudentData[[#This Row],[failures]]=1,60,0))</f>
        <v>0</v>
      </c>
      <c r="AK63">
        <f>IF(StudentData[[#This Row],[absences]]&gt;15,80,IF(StudentData[[#This Row],[absences]]&gt;10,50,0))</f>
        <v>0</v>
      </c>
      <c r="AL63">
        <f>IF(StudentData[[#This Row],[studytime]]=1,70,IF(StudentData[[#This Row],[studytime]]=2,40,0))</f>
        <v>70</v>
      </c>
      <c r="AM63">
        <f>IF(StudentData[[#This Row],[GradeDrop]]=1,50,0)</f>
        <v>0</v>
      </c>
      <c r="AN63">
        <f>0.4*StudentData[[#This Row],[FailureScore]]+0.3*StudentData[[#This Row],[AbsenceScore]]+0.2*StudentData[[#This Row],[StudyRisk]]+0.1*StudentData[[#This Row],[TrendRisk]]</f>
        <v>14</v>
      </c>
      <c r="AO63" t="str">
        <f>IF(StudentData[[#This Row],[RiskIndex]]&lt;=30,"Low",IF(StudentData[[#This Row],[RiskIndex]]&lt;=60,"Medium","High"))</f>
        <v>Low</v>
      </c>
      <c r="AP63">
        <f>StudentData[[#This Row],[G3]]+('Intervention Simulator'!$C$2*1.5)</f>
        <v>16</v>
      </c>
      <c r="AQ63" t="str">
        <f>IF(StudentData[[#This Row],[ProjectedGrade]]&gt;=10,"Pass","Fail")</f>
        <v>Pass</v>
      </c>
    </row>
    <row r="64" spans="1:4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  <c r="AH64" t="str">
        <f>IF(StudentData[[#This Row],[G3]]&gt;=10,"Pass","Fail")</f>
        <v>Pass</v>
      </c>
      <c r="AI64">
        <f>IF(StudentData[[#This Row],[G3]]&lt;StudentData[[#This Row],[G2]],1,0)</f>
        <v>1</v>
      </c>
      <c r="AJ64">
        <f>IF(StudentData[[#This Row],[failures]]&gt;=2,100,IF(StudentData[[#This Row],[failures]]=1,60,0))</f>
        <v>0</v>
      </c>
      <c r="AK64">
        <f>IF(StudentData[[#This Row],[absences]]&gt;15,80,IF(StudentData[[#This Row],[absences]]&gt;10,50,0))</f>
        <v>0</v>
      </c>
      <c r="AL64">
        <f>IF(StudentData[[#This Row],[studytime]]=1,70,IF(StudentData[[#This Row],[studytime]]=2,40,0))</f>
        <v>40</v>
      </c>
      <c r="AM64">
        <f>IF(StudentData[[#This Row],[GradeDrop]]=1,50,0)</f>
        <v>50</v>
      </c>
      <c r="AN64">
        <f>0.4*StudentData[[#This Row],[FailureScore]]+0.3*StudentData[[#This Row],[AbsenceScore]]+0.2*StudentData[[#This Row],[StudyRisk]]+0.1*StudentData[[#This Row],[TrendRisk]]</f>
        <v>13</v>
      </c>
      <c r="AO64" t="str">
        <f>IF(StudentData[[#This Row],[RiskIndex]]&lt;=30,"Low",IF(StudentData[[#This Row],[RiskIndex]]&lt;=60,"Medium","High"))</f>
        <v>Low</v>
      </c>
      <c r="AP64">
        <f>StudentData[[#This Row],[G3]]+('Intervention Simulator'!$C$2*1.5)</f>
        <v>10</v>
      </c>
      <c r="AQ64" t="str">
        <f>IF(StudentData[[#This Row],[ProjectedGrade]]&gt;=10,"Pass","Fail")</f>
        <v>Pass</v>
      </c>
    </row>
    <row r="65" spans="1:4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  <c r="AH65" t="str">
        <f>IF(StudentData[[#This Row],[G3]]&gt;=10,"Pass","Fail")</f>
        <v>Pass</v>
      </c>
      <c r="AI65">
        <f>IF(StudentData[[#This Row],[G3]]&lt;StudentData[[#This Row],[G2]],1,0)</f>
        <v>0</v>
      </c>
      <c r="AJ65">
        <f>IF(StudentData[[#This Row],[failures]]&gt;=2,100,IF(StudentData[[#This Row],[failures]]=1,60,0))</f>
        <v>0</v>
      </c>
      <c r="AK65">
        <f>IF(StudentData[[#This Row],[absences]]&gt;15,80,IF(StudentData[[#This Row],[absences]]&gt;10,50,0))</f>
        <v>0</v>
      </c>
      <c r="AL65">
        <f>IF(StudentData[[#This Row],[studytime]]=1,70,IF(StudentData[[#This Row],[studytime]]=2,40,0))</f>
        <v>0</v>
      </c>
      <c r="AM65">
        <f>IF(StudentData[[#This Row],[GradeDrop]]=1,50,0)</f>
        <v>0</v>
      </c>
      <c r="AN65">
        <f>0.4*StudentData[[#This Row],[FailureScore]]+0.3*StudentData[[#This Row],[AbsenceScore]]+0.2*StudentData[[#This Row],[StudyRisk]]+0.1*StudentData[[#This Row],[TrendRisk]]</f>
        <v>0</v>
      </c>
      <c r="AO65" t="str">
        <f>IF(StudentData[[#This Row],[RiskIndex]]&lt;=30,"Low",IF(StudentData[[#This Row],[RiskIndex]]&lt;=60,"Medium","High"))</f>
        <v>Low</v>
      </c>
      <c r="AP65">
        <f>StudentData[[#This Row],[G3]]+('Intervention Simulator'!$C$2*1.5)</f>
        <v>13</v>
      </c>
      <c r="AQ65" t="str">
        <f>IF(StudentData[[#This Row],[ProjectedGrade]]&gt;=10,"Pass","Fail")</f>
        <v>Pass</v>
      </c>
    </row>
    <row r="66" spans="1:4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  <c r="AH66" t="str">
        <f>IF(StudentData[[#This Row],[G3]]&gt;=10,"Pass","Fail")</f>
        <v>Pass</v>
      </c>
      <c r="AI66">
        <f>IF(StudentData[[#This Row],[G3]]&lt;StudentData[[#This Row],[G2]],1,0)</f>
        <v>0</v>
      </c>
      <c r="AJ66">
        <f>IF(StudentData[[#This Row],[failures]]&gt;=2,100,IF(StudentData[[#This Row],[failures]]=1,60,0))</f>
        <v>0</v>
      </c>
      <c r="AK66">
        <f>IF(StudentData[[#This Row],[absences]]&gt;15,80,IF(StudentData[[#This Row],[absences]]&gt;10,50,0))</f>
        <v>0</v>
      </c>
      <c r="AL66">
        <f>IF(StudentData[[#This Row],[studytime]]=1,70,IF(StudentData[[#This Row],[studytime]]=2,40,0))</f>
        <v>40</v>
      </c>
      <c r="AM66">
        <f>IF(StudentData[[#This Row],[GradeDrop]]=1,50,0)</f>
        <v>0</v>
      </c>
      <c r="AN66">
        <f>0.4*StudentData[[#This Row],[FailureScore]]+0.3*StudentData[[#This Row],[AbsenceScore]]+0.2*StudentData[[#This Row],[StudyRisk]]+0.1*StudentData[[#This Row],[TrendRisk]]</f>
        <v>8</v>
      </c>
      <c r="AO66" t="str">
        <f>IF(StudentData[[#This Row],[RiskIndex]]&lt;=30,"Low",IF(StudentData[[#This Row],[RiskIndex]]&lt;=60,"Medium","High"))</f>
        <v>Low</v>
      </c>
      <c r="AP66">
        <f>StudentData[[#This Row],[G3]]+('Intervention Simulator'!$C$2*1.5)</f>
        <v>12</v>
      </c>
      <c r="AQ66" t="str">
        <f>IF(StudentData[[#This Row],[ProjectedGrade]]&gt;=10,"Pass","Fail")</f>
        <v>Pass</v>
      </c>
    </row>
    <row r="67" spans="1:4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  <c r="AH67" t="str">
        <f>IF(StudentData[[#This Row],[G3]]&gt;=10,"Pass","Fail")</f>
        <v>Pass</v>
      </c>
      <c r="AI67">
        <f>IF(StudentData[[#This Row],[G3]]&lt;StudentData[[#This Row],[G2]],1,0)</f>
        <v>0</v>
      </c>
      <c r="AJ67">
        <f>IF(StudentData[[#This Row],[failures]]&gt;=2,100,IF(StudentData[[#This Row],[failures]]=1,60,0))</f>
        <v>0</v>
      </c>
      <c r="AK67">
        <f>IF(StudentData[[#This Row],[absences]]&gt;15,80,IF(StudentData[[#This Row],[absences]]&gt;10,50,0))</f>
        <v>0</v>
      </c>
      <c r="AL67">
        <f>IF(StudentData[[#This Row],[studytime]]=1,70,IF(StudentData[[#This Row],[studytime]]=2,40,0))</f>
        <v>40</v>
      </c>
      <c r="AM67">
        <f>IF(StudentData[[#This Row],[GradeDrop]]=1,50,0)</f>
        <v>0</v>
      </c>
      <c r="AN67">
        <f>0.4*StudentData[[#This Row],[FailureScore]]+0.3*StudentData[[#This Row],[AbsenceScore]]+0.2*StudentData[[#This Row],[StudyRisk]]+0.1*StudentData[[#This Row],[TrendRisk]]</f>
        <v>8</v>
      </c>
      <c r="AO67" t="str">
        <f>IF(StudentData[[#This Row],[RiskIndex]]&lt;=30,"Low",IF(StudentData[[#This Row],[RiskIndex]]&lt;=60,"Medium","High"))</f>
        <v>Low</v>
      </c>
      <c r="AP67">
        <f>StudentData[[#This Row],[G3]]+('Intervention Simulator'!$C$2*1.5)</f>
        <v>16</v>
      </c>
      <c r="AQ67" t="str">
        <f>IF(StudentData[[#This Row],[ProjectedGrade]]&gt;=10,"Pass","Fail")</f>
        <v>Pass</v>
      </c>
    </row>
    <row r="68" spans="1:4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  <c r="AH68" t="str">
        <f>IF(StudentData[[#This Row],[G3]]&gt;=10,"Pass","Fail")</f>
        <v>Pass</v>
      </c>
      <c r="AI68">
        <f>IF(StudentData[[#This Row],[G3]]&lt;StudentData[[#This Row],[G2]],1,0)</f>
        <v>0</v>
      </c>
      <c r="AJ68">
        <f>IF(StudentData[[#This Row],[failures]]&gt;=2,100,IF(StudentData[[#This Row],[failures]]=1,60,0))</f>
        <v>0</v>
      </c>
      <c r="AK68">
        <f>IF(StudentData[[#This Row],[absences]]&gt;15,80,IF(StudentData[[#This Row],[absences]]&gt;10,50,0))</f>
        <v>0</v>
      </c>
      <c r="AL68">
        <f>IF(StudentData[[#This Row],[studytime]]=1,70,IF(StudentData[[#This Row],[studytime]]=2,40,0))</f>
        <v>0</v>
      </c>
      <c r="AM68">
        <f>IF(StudentData[[#This Row],[GradeDrop]]=1,50,0)</f>
        <v>0</v>
      </c>
      <c r="AN68">
        <f>0.4*StudentData[[#This Row],[FailureScore]]+0.3*StudentData[[#This Row],[AbsenceScore]]+0.2*StudentData[[#This Row],[StudyRisk]]+0.1*StudentData[[#This Row],[TrendRisk]]</f>
        <v>0</v>
      </c>
      <c r="AO68" t="str">
        <f>IF(StudentData[[#This Row],[RiskIndex]]&lt;=30,"Low",IF(StudentData[[#This Row],[RiskIndex]]&lt;=60,"Medium","High"))</f>
        <v>Low</v>
      </c>
      <c r="AP68">
        <f>StudentData[[#This Row],[G3]]+('Intervention Simulator'!$C$2*1.5)</f>
        <v>12</v>
      </c>
      <c r="AQ68" t="str">
        <f>IF(StudentData[[#This Row],[ProjectedGrade]]&gt;=10,"Pass","Fail")</f>
        <v>Pass</v>
      </c>
    </row>
    <row r="69" spans="1:4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  <c r="AH69" t="str">
        <f>IF(StudentData[[#This Row],[G3]]&gt;=10,"Pass","Fail")</f>
        <v>Pass</v>
      </c>
      <c r="AI69">
        <f>IF(StudentData[[#This Row],[G3]]&lt;StudentData[[#This Row],[G2]],1,0)</f>
        <v>0</v>
      </c>
      <c r="AJ69">
        <f>IF(StudentData[[#This Row],[failures]]&gt;=2,100,IF(StudentData[[#This Row],[failures]]=1,60,0))</f>
        <v>0</v>
      </c>
      <c r="AK69">
        <f>IF(StudentData[[#This Row],[absences]]&gt;15,80,IF(StudentData[[#This Row],[absences]]&gt;10,50,0))</f>
        <v>0</v>
      </c>
      <c r="AL69">
        <f>IF(StudentData[[#This Row],[studytime]]=1,70,IF(StudentData[[#This Row],[studytime]]=2,40,0))</f>
        <v>0</v>
      </c>
      <c r="AM69">
        <f>IF(StudentData[[#This Row],[GradeDrop]]=1,50,0)</f>
        <v>0</v>
      </c>
      <c r="AN69">
        <f>0.4*StudentData[[#This Row],[FailureScore]]+0.3*StudentData[[#This Row],[AbsenceScore]]+0.2*StudentData[[#This Row],[StudyRisk]]+0.1*StudentData[[#This Row],[TrendRisk]]</f>
        <v>0</v>
      </c>
      <c r="AO69" t="str">
        <f>IF(StudentData[[#This Row],[RiskIndex]]&lt;=30,"Low",IF(StudentData[[#This Row],[RiskIndex]]&lt;=60,"Medium","High"))</f>
        <v>Low</v>
      </c>
      <c r="AP69">
        <f>StudentData[[#This Row],[G3]]+('Intervention Simulator'!$C$2*1.5)</f>
        <v>10</v>
      </c>
      <c r="AQ69" t="str">
        <f>IF(StudentData[[#This Row],[ProjectedGrade]]&gt;=10,"Pass","Fail")</f>
        <v>Pass</v>
      </c>
    </row>
    <row r="70" spans="1:4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  <c r="AH70" t="str">
        <f>IF(StudentData[[#This Row],[G3]]&gt;=10,"Pass","Fail")</f>
        <v>Pass</v>
      </c>
      <c r="AI70">
        <f>IF(StudentData[[#This Row],[G3]]&lt;StudentData[[#This Row],[G2]],1,0)</f>
        <v>0</v>
      </c>
      <c r="AJ70">
        <f>IF(StudentData[[#This Row],[failures]]&gt;=2,100,IF(StudentData[[#This Row],[failures]]=1,60,0))</f>
        <v>0</v>
      </c>
      <c r="AK70">
        <f>IF(StudentData[[#This Row],[absences]]&gt;15,80,IF(StudentData[[#This Row],[absences]]&gt;10,50,0))</f>
        <v>0</v>
      </c>
      <c r="AL70">
        <f>IF(StudentData[[#This Row],[studytime]]=1,70,IF(StudentData[[#This Row],[studytime]]=2,40,0))</f>
        <v>40</v>
      </c>
      <c r="AM70">
        <f>IF(StudentData[[#This Row],[GradeDrop]]=1,50,0)</f>
        <v>0</v>
      </c>
      <c r="AN70">
        <f>0.4*StudentData[[#This Row],[FailureScore]]+0.3*StudentData[[#This Row],[AbsenceScore]]+0.2*StudentData[[#This Row],[StudyRisk]]+0.1*StudentData[[#This Row],[TrendRisk]]</f>
        <v>8</v>
      </c>
      <c r="AO70" t="str">
        <f>IF(StudentData[[#This Row],[RiskIndex]]&lt;=30,"Low",IF(StudentData[[#This Row],[RiskIndex]]&lt;=60,"Medium","High"))</f>
        <v>Low</v>
      </c>
      <c r="AP70">
        <f>StudentData[[#This Row],[G3]]+('Intervention Simulator'!$C$2*1.5)</f>
        <v>11</v>
      </c>
      <c r="AQ70" t="str">
        <f>IF(StudentData[[#This Row],[ProjectedGrade]]&gt;=10,"Pass","Fail")</f>
        <v>Pass</v>
      </c>
    </row>
    <row r="71" spans="1:4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  <c r="AH71" t="str">
        <f>IF(StudentData[[#This Row],[G3]]&gt;=10,"Pass","Fail")</f>
        <v>Pass</v>
      </c>
      <c r="AI71">
        <f>IF(StudentData[[#This Row],[G3]]&lt;StudentData[[#This Row],[G2]],1,0)</f>
        <v>0</v>
      </c>
      <c r="AJ71">
        <f>IF(StudentData[[#This Row],[failures]]&gt;=2,100,IF(StudentData[[#This Row],[failures]]=1,60,0))</f>
        <v>0</v>
      </c>
      <c r="AK71">
        <f>IF(StudentData[[#This Row],[absences]]&gt;15,80,IF(StudentData[[#This Row],[absences]]&gt;10,50,0))</f>
        <v>0</v>
      </c>
      <c r="AL71">
        <f>IF(StudentData[[#This Row],[studytime]]=1,70,IF(StudentData[[#This Row],[studytime]]=2,40,0))</f>
        <v>0</v>
      </c>
      <c r="AM71">
        <f>IF(StudentData[[#This Row],[GradeDrop]]=1,50,0)</f>
        <v>0</v>
      </c>
      <c r="AN71">
        <f>0.4*StudentData[[#This Row],[FailureScore]]+0.3*StudentData[[#This Row],[AbsenceScore]]+0.2*StudentData[[#This Row],[StudyRisk]]+0.1*StudentData[[#This Row],[TrendRisk]]</f>
        <v>0</v>
      </c>
      <c r="AO71" t="str">
        <f>IF(StudentData[[#This Row],[RiskIndex]]&lt;=30,"Low",IF(StudentData[[#This Row],[RiskIndex]]&lt;=60,"Medium","High"))</f>
        <v>Low</v>
      </c>
      <c r="AP71">
        <f>StudentData[[#This Row],[G3]]+('Intervention Simulator'!$C$2*1.5)</f>
        <v>15</v>
      </c>
      <c r="AQ71" t="str">
        <f>IF(StudentData[[#This Row],[ProjectedGrade]]&gt;=10,"Pass","Fail")</f>
        <v>Pass</v>
      </c>
    </row>
    <row r="72" spans="1:4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  <c r="AH72" t="str">
        <f>IF(StudentData[[#This Row],[G3]]&gt;=10,"Pass","Fail")</f>
        <v>Pass</v>
      </c>
      <c r="AI72">
        <f>IF(StudentData[[#This Row],[G3]]&lt;StudentData[[#This Row],[G2]],1,0)</f>
        <v>0</v>
      </c>
      <c r="AJ72">
        <f>IF(StudentData[[#This Row],[failures]]&gt;=2,100,IF(StudentData[[#This Row],[failures]]=1,60,0))</f>
        <v>0</v>
      </c>
      <c r="AK72">
        <f>IF(StudentData[[#This Row],[absences]]&gt;15,80,IF(StudentData[[#This Row],[absences]]&gt;10,50,0))</f>
        <v>0</v>
      </c>
      <c r="AL72">
        <f>IF(StudentData[[#This Row],[studytime]]=1,70,IF(StudentData[[#This Row],[studytime]]=2,40,0))</f>
        <v>0</v>
      </c>
      <c r="AM72">
        <f>IF(StudentData[[#This Row],[GradeDrop]]=1,50,0)</f>
        <v>0</v>
      </c>
      <c r="AN72">
        <f>0.4*StudentData[[#This Row],[FailureScore]]+0.3*StudentData[[#This Row],[AbsenceScore]]+0.2*StudentData[[#This Row],[StudyRisk]]+0.1*StudentData[[#This Row],[TrendRisk]]</f>
        <v>0</v>
      </c>
      <c r="AO72" t="str">
        <f>IF(StudentData[[#This Row],[RiskIndex]]&lt;=30,"Low",IF(StudentData[[#This Row],[RiskIndex]]&lt;=60,"Medium","High"))</f>
        <v>Low</v>
      </c>
      <c r="AP72">
        <f>StudentData[[#This Row],[G3]]+('Intervention Simulator'!$C$2*1.5)</f>
        <v>11</v>
      </c>
      <c r="AQ72" t="str">
        <f>IF(StudentData[[#This Row],[ProjectedGrade]]&gt;=10,"Pass","Fail")</f>
        <v>Pass</v>
      </c>
    </row>
    <row r="73" spans="1:4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  <c r="AH73" t="str">
        <f>IF(StudentData[[#This Row],[G3]]&gt;=10,"Pass","Fail")</f>
        <v>Pass</v>
      </c>
      <c r="AI73">
        <f>IF(StudentData[[#This Row],[G3]]&lt;StudentData[[#This Row],[G2]],1,0)</f>
        <v>0</v>
      </c>
      <c r="AJ73">
        <f>IF(StudentData[[#This Row],[failures]]&gt;=2,100,IF(StudentData[[#This Row],[failures]]=1,60,0))</f>
        <v>0</v>
      </c>
      <c r="AK73">
        <f>IF(StudentData[[#This Row],[absences]]&gt;15,80,IF(StudentData[[#This Row],[absences]]&gt;10,50,0))</f>
        <v>0</v>
      </c>
      <c r="AL73">
        <f>IF(StudentData[[#This Row],[studytime]]=1,70,IF(StudentData[[#This Row],[studytime]]=2,40,0))</f>
        <v>0</v>
      </c>
      <c r="AM73">
        <f>IF(StudentData[[#This Row],[GradeDrop]]=1,50,0)</f>
        <v>0</v>
      </c>
      <c r="AN73">
        <f>0.4*StudentData[[#This Row],[FailureScore]]+0.3*StudentData[[#This Row],[AbsenceScore]]+0.2*StudentData[[#This Row],[StudyRisk]]+0.1*StudentData[[#This Row],[TrendRisk]]</f>
        <v>0</v>
      </c>
      <c r="AO73" t="str">
        <f>IF(StudentData[[#This Row],[RiskIndex]]&lt;=30,"Low",IF(StudentData[[#This Row],[RiskIndex]]&lt;=60,"Medium","High"))</f>
        <v>Low</v>
      </c>
      <c r="AP73">
        <f>StudentData[[#This Row],[G3]]+('Intervention Simulator'!$C$2*1.5)</f>
        <v>10</v>
      </c>
      <c r="AQ73" t="str">
        <f>IF(StudentData[[#This Row],[ProjectedGrade]]&gt;=10,"Pass","Fail")</f>
        <v>Pass</v>
      </c>
    </row>
    <row r="74" spans="1:4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  <c r="AH74" t="str">
        <f>IF(StudentData[[#This Row],[G3]]&gt;=10,"Pass","Fail")</f>
        <v>Pass</v>
      </c>
      <c r="AI74">
        <f>IF(StudentData[[#This Row],[G3]]&lt;StudentData[[#This Row],[G2]],1,0)</f>
        <v>0</v>
      </c>
      <c r="AJ74">
        <f>IF(StudentData[[#This Row],[failures]]&gt;=2,100,IF(StudentData[[#This Row],[failures]]=1,60,0))</f>
        <v>0</v>
      </c>
      <c r="AK74">
        <f>IF(StudentData[[#This Row],[absences]]&gt;15,80,IF(StudentData[[#This Row],[absences]]&gt;10,50,0))</f>
        <v>0</v>
      </c>
      <c r="AL74">
        <f>IF(StudentData[[#This Row],[studytime]]=1,70,IF(StudentData[[#This Row],[studytime]]=2,40,0))</f>
        <v>40</v>
      </c>
      <c r="AM74">
        <f>IF(StudentData[[#This Row],[GradeDrop]]=1,50,0)</f>
        <v>0</v>
      </c>
      <c r="AN74">
        <f>0.4*StudentData[[#This Row],[FailureScore]]+0.3*StudentData[[#This Row],[AbsenceScore]]+0.2*StudentData[[#This Row],[StudyRisk]]+0.1*StudentData[[#This Row],[TrendRisk]]</f>
        <v>8</v>
      </c>
      <c r="AO74" t="str">
        <f>IF(StudentData[[#This Row],[RiskIndex]]&lt;=30,"Low",IF(StudentData[[#This Row],[RiskIndex]]&lt;=60,"Medium","High"))</f>
        <v>Low</v>
      </c>
      <c r="AP74">
        <f>StudentData[[#This Row],[G3]]+('Intervention Simulator'!$C$2*1.5)</f>
        <v>11</v>
      </c>
      <c r="AQ74" t="str">
        <f>IF(StudentData[[#This Row],[ProjectedGrade]]&gt;=10,"Pass","Fail")</f>
        <v>Pass</v>
      </c>
    </row>
    <row r="75" spans="1:4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  <c r="AH75" t="str">
        <f>IF(StudentData[[#This Row],[G3]]&gt;=10,"Pass","Fail")</f>
        <v>Pass</v>
      </c>
      <c r="AI75">
        <f>IF(StudentData[[#This Row],[G3]]&lt;StudentData[[#This Row],[G2]],1,0)</f>
        <v>0</v>
      </c>
      <c r="AJ75">
        <f>IF(StudentData[[#This Row],[failures]]&gt;=2,100,IF(StudentData[[#This Row],[failures]]=1,60,0))</f>
        <v>0</v>
      </c>
      <c r="AK75">
        <f>IF(StudentData[[#This Row],[absences]]&gt;15,80,IF(StudentData[[#This Row],[absences]]&gt;10,50,0))</f>
        <v>0</v>
      </c>
      <c r="AL75">
        <f>IF(StudentData[[#This Row],[studytime]]=1,70,IF(StudentData[[#This Row],[studytime]]=2,40,0))</f>
        <v>70</v>
      </c>
      <c r="AM75">
        <f>IF(StudentData[[#This Row],[GradeDrop]]=1,50,0)</f>
        <v>0</v>
      </c>
      <c r="AN75">
        <f>0.4*StudentData[[#This Row],[FailureScore]]+0.3*StudentData[[#This Row],[AbsenceScore]]+0.2*StudentData[[#This Row],[StudyRisk]]+0.1*StudentData[[#This Row],[TrendRisk]]</f>
        <v>14</v>
      </c>
      <c r="AO75" t="str">
        <f>IF(StudentData[[#This Row],[RiskIndex]]&lt;=30,"Low",IF(StudentData[[#This Row],[RiskIndex]]&lt;=60,"Medium","High"))</f>
        <v>Low</v>
      </c>
      <c r="AP75">
        <f>StudentData[[#This Row],[G3]]+('Intervention Simulator'!$C$2*1.5)</f>
        <v>14</v>
      </c>
      <c r="AQ75" t="str">
        <f>IF(StudentData[[#This Row],[ProjectedGrade]]&gt;=10,"Pass","Fail")</f>
        <v>Pass</v>
      </c>
    </row>
    <row r="76" spans="1:4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  <c r="AH76" t="str">
        <f>IF(StudentData[[#This Row],[G3]]&gt;=10,"Pass","Fail")</f>
        <v>Pass</v>
      </c>
      <c r="AI76">
        <f>IF(StudentData[[#This Row],[G3]]&lt;StudentData[[#This Row],[G2]],1,0)</f>
        <v>0</v>
      </c>
      <c r="AJ76">
        <f>IF(StudentData[[#This Row],[failures]]&gt;=2,100,IF(StudentData[[#This Row],[failures]]=1,60,0))</f>
        <v>0</v>
      </c>
      <c r="AK76">
        <f>IF(StudentData[[#This Row],[absences]]&gt;15,80,IF(StudentData[[#This Row],[absences]]&gt;10,50,0))</f>
        <v>0</v>
      </c>
      <c r="AL76">
        <f>IF(StudentData[[#This Row],[studytime]]=1,70,IF(StudentData[[#This Row],[studytime]]=2,40,0))</f>
        <v>40</v>
      </c>
      <c r="AM76">
        <f>IF(StudentData[[#This Row],[GradeDrop]]=1,50,0)</f>
        <v>0</v>
      </c>
      <c r="AN76">
        <f>0.4*StudentData[[#This Row],[FailureScore]]+0.3*StudentData[[#This Row],[AbsenceScore]]+0.2*StudentData[[#This Row],[StudyRisk]]+0.1*StudentData[[#This Row],[TrendRisk]]</f>
        <v>8</v>
      </c>
      <c r="AO76" t="str">
        <f>IF(StudentData[[#This Row],[RiskIndex]]&lt;=30,"Low",IF(StudentData[[#This Row],[RiskIndex]]&lt;=60,"Medium","High"))</f>
        <v>Low</v>
      </c>
      <c r="AP76">
        <f>StudentData[[#This Row],[G3]]+('Intervention Simulator'!$C$2*1.5)</f>
        <v>11</v>
      </c>
      <c r="AQ76" t="str">
        <f>IF(StudentData[[#This Row],[ProjectedGrade]]&gt;=10,"Pass","Fail")</f>
        <v>Pass</v>
      </c>
    </row>
    <row r="77" spans="1:4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  <c r="AH77" t="str">
        <f>IF(StudentData[[#This Row],[G3]]&gt;=10,"Pass","Fail")</f>
        <v>Pass</v>
      </c>
      <c r="AI77">
        <f>IF(StudentData[[#This Row],[G3]]&lt;StudentData[[#This Row],[G2]],1,0)</f>
        <v>0</v>
      </c>
      <c r="AJ77">
        <f>IF(StudentData[[#This Row],[failures]]&gt;=2,100,IF(StudentData[[#This Row],[failures]]=1,60,0))</f>
        <v>0</v>
      </c>
      <c r="AK77">
        <f>IF(StudentData[[#This Row],[absences]]&gt;15,80,IF(StudentData[[#This Row],[absences]]&gt;10,50,0))</f>
        <v>0</v>
      </c>
      <c r="AL77">
        <f>IF(StudentData[[#This Row],[studytime]]=1,70,IF(StudentData[[#This Row],[studytime]]=2,40,0))</f>
        <v>40</v>
      </c>
      <c r="AM77">
        <f>IF(StudentData[[#This Row],[GradeDrop]]=1,50,0)</f>
        <v>0</v>
      </c>
      <c r="AN77">
        <f>0.4*StudentData[[#This Row],[FailureScore]]+0.3*StudentData[[#This Row],[AbsenceScore]]+0.2*StudentData[[#This Row],[StudyRisk]]+0.1*StudentData[[#This Row],[TrendRisk]]</f>
        <v>8</v>
      </c>
      <c r="AO77" t="str">
        <f>IF(StudentData[[#This Row],[RiskIndex]]&lt;=30,"Low",IF(StudentData[[#This Row],[RiskIndex]]&lt;=60,"Medium","High"))</f>
        <v>Low</v>
      </c>
      <c r="AP77">
        <f>StudentData[[#This Row],[G3]]+('Intervention Simulator'!$C$2*1.5)</f>
        <v>11</v>
      </c>
      <c r="AQ77" t="str">
        <f>IF(StudentData[[#This Row],[ProjectedGrade]]&gt;=10,"Pass","Fail")</f>
        <v>Pass</v>
      </c>
    </row>
    <row r="78" spans="1:4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  <c r="AH78" t="str">
        <f>IF(StudentData[[#This Row],[G3]]&gt;=10,"Pass","Fail")</f>
        <v>Pass</v>
      </c>
      <c r="AI78">
        <f>IF(StudentData[[#This Row],[G3]]&lt;StudentData[[#This Row],[G2]],1,0)</f>
        <v>0</v>
      </c>
      <c r="AJ78">
        <f>IF(StudentData[[#This Row],[failures]]&gt;=2,100,IF(StudentData[[#This Row],[failures]]=1,60,0))</f>
        <v>0</v>
      </c>
      <c r="AK78">
        <f>IF(StudentData[[#This Row],[absences]]&gt;15,80,IF(StudentData[[#This Row],[absences]]&gt;10,50,0))</f>
        <v>0</v>
      </c>
      <c r="AL78">
        <f>IF(StudentData[[#This Row],[studytime]]=1,70,IF(StudentData[[#This Row],[studytime]]=2,40,0))</f>
        <v>0</v>
      </c>
      <c r="AM78">
        <f>IF(StudentData[[#This Row],[GradeDrop]]=1,50,0)</f>
        <v>0</v>
      </c>
      <c r="AN78">
        <f>0.4*StudentData[[#This Row],[FailureScore]]+0.3*StudentData[[#This Row],[AbsenceScore]]+0.2*StudentData[[#This Row],[StudyRisk]]+0.1*StudentData[[#This Row],[TrendRisk]]</f>
        <v>0</v>
      </c>
      <c r="AO78" t="str">
        <f>IF(StudentData[[#This Row],[RiskIndex]]&lt;=30,"Low",IF(StudentData[[#This Row],[RiskIndex]]&lt;=60,"Medium","High"))</f>
        <v>Low</v>
      </c>
      <c r="AP78">
        <f>StudentData[[#This Row],[G3]]+('Intervention Simulator'!$C$2*1.5)</f>
        <v>11</v>
      </c>
      <c r="AQ78" t="str">
        <f>IF(StudentData[[#This Row],[ProjectedGrade]]&gt;=10,"Pass","Fail")</f>
        <v>Pass</v>
      </c>
    </row>
    <row r="79" spans="1:4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  <c r="AH79" t="str">
        <f>IF(StudentData[[#This Row],[G3]]&gt;=10,"Pass","Fail")</f>
        <v>Pass</v>
      </c>
      <c r="AI79">
        <f>IF(StudentData[[#This Row],[G3]]&lt;StudentData[[#This Row],[G2]],1,0)</f>
        <v>0</v>
      </c>
      <c r="AJ79">
        <f>IF(StudentData[[#This Row],[failures]]&gt;=2,100,IF(StudentData[[#This Row],[failures]]=1,60,0))</f>
        <v>0</v>
      </c>
      <c r="AK79">
        <f>IF(StudentData[[#This Row],[absences]]&gt;15,80,IF(StudentData[[#This Row],[absences]]&gt;10,50,0))</f>
        <v>0</v>
      </c>
      <c r="AL79">
        <f>IF(StudentData[[#This Row],[studytime]]=1,70,IF(StudentData[[#This Row],[studytime]]=2,40,0))</f>
        <v>0</v>
      </c>
      <c r="AM79">
        <f>IF(StudentData[[#This Row],[GradeDrop]]=1,50,0)</f>
        <v>0</v>
      </c>
      <c r="AN79">
        <f>0.4*StudentData[[#This Row],[FailureScore]]+0.3*StudentData[[#This Row],[AbsenceScore]]+0.2*StudentData[[#This Row],[StudyRisk]]+0.1*StudentData[[#This Row],[TrendRisk]]</f>
        <v>0</v>
      </c>
      <c r="AO79" t="str">
        <f>IF(StudentData[[#This Row],[RiskIndex]]&lt;=30,"Low",IF(StudentData[[#This Row],[RiskIndex]]&lt;=60,"Medium","High"))</f>
        <v>Low</v>
      </c>
      <c r="AP79">
        <f>StudentData[[#This Row],[G3]]+('Intervention Simulator'!$C$2*1.5)</f>
        <v>13</v>
      </c>
      <c r="AQ79" t="str">
        <f>IF(StudentData[[#This Row],[ProjectedGrade]]&gt;=10,"Pass","Fail")</f>
        <v>Pass</v>
      </c>
    </row>
    <row r="80" spans="1:4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  <c r="AH80" t="str">
        <f>IF(StudentData[[#This Row],[G3]]&gt;=10,"Pass","Fail")</f>
        <v>Pass</v>
      </c>
      <c r="AI80">
        <f>IF(StudentData[[#This Row],[G3]]&lt;StudentData[[#This Row],[G2]],1,0)</f>
        <v>0</v>
      </c>
      <c r="AJ80">
        <f>IF(StudentData[[#This Row],[failures]]&gt;=2,100,IF(StudentData[[#This Row],[failures]]=1,60,0))</f>
        <v>100</v>
      </c>
      <c r="AK80">
        <f>IF(StudentData[[#This Row],[absences]]&gt;15,80,IF(StudentData[[#This Row],[absences]]&gt;10,50,0))</f>
        <v>0</v>
      </c>
      <c r="AL80">
        <f>IF(StudentData[[#This Row],[studytime]]=1,70,IF(StudentData[[#This Row],[studytime]]=2,40,0))</f>
        <v>70</v>
      </c>
      <c r="AM80">
        <f>IF(StudentData[[#This Row],[GradeDrop]]=1,50,0)</f>
        <v>0</v>
      </c>
      <c r="AN80">
        <f>0.4*StudentData[[#This Row],[FailureScore]]+0.3*StudentData[[#This Row],[AbsenceScore]]+0.2*StudentData[[#This Row],[StudyRisk]]+0.1*StudentData[[#This Row],[TrendRisk]]</f>
        <v>54</v>
      </c>
      <c r="AO80" t="str">
        <f>IF(StudentData[[#This Row],[RiskIndex]]&lt;=30,"Low",IF(StudentData[[#This Row],[RiskIndex]]&lt;=60,"Medium","High"))</f>
        <v>Medium</v>
      </c>
      <c r="AP80">
        <f>StudentData[[#This Row],[G3]]+('Intervention Simulator'!$C$2*1.5)</f>
        <v>10</v>
      </c>
      <c r="AQ80" t="str">
        <f>IF(StudentData[[#This Row],[ProjectedGrade]]&gt;=10,"Pass","Fail")</f>
        <v>Pass</v>
      </c>
    </row>
    <row r="81" spans="1:4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  <c r="AH81" t="str">
        <f>IF(StudentData[[#This Row],[G3]]&gt;=10,"Pass","Fail")</f>
        <v>Pass</v>
      </c>
      <c r="AI81">
        <f>IF(StudentData[[#This Row],[G3]]&lt;StudentData[[#This Row],[G2]],1,0)</f>
        <v>0</v>
      </c>
      <c r="AJ81">
        <f>IF(StudentData[[#This Row],[failures]]&gt;=2,100,IF(StudentData[[#This Row],[failures]]=1,60,0))</f>
        <v>0</v>
      </c>
      <c r="AK81">
        <f>IF(StudentData[[#This Row],[absences]]&gt;15,80,IF(StudentData[[#This Row],[absences]]&gt;10,50,0))</f>
        <v>50</v>
      </c>
      <c r="AL81">
        <f>IF(StudentData[[#This Row],[studytime]]=1,70,IF(StudentData[[#This Row],[studytime]]=2,40,0))</f>
        <v>40</v>
      </c>
      <c r="AM81">
        <f>IF(StudentData[[#This Row],[GradeDrop]]=1,50,0)</f>
        <v>0</v>
      </c>
      <c r="AN81">
        <f>0.4*StudentData[[#This Row],[FailureScore]]+0.3*StudentData[[#This Row],[AbsenceScore]]+0.2*StudentData[[#This Row],[StudyRisk]]+0.1*StudentData[[#This Row],[TrendRisk]]</f>
        <v>23</v>
      </c>
      <c r="AO81" t="str">
        <f>IF(StudentData[[#This Row],[RiskIndex]]&lt;=30,"Low",IF(StudentData[[#This Row],[RiskIndex]]&lt;=60,"Medium","High"))</f>
        <v>Low</v>
      </c>
      <c r="AP81">
        <f>StudentData[[#This Row],[G3]]+('Intervention Simulator'!$C$2*1.5)</f>
        <v>11</v>
      </c>
      <c r="AQ81" t="str">
        <f>IF(StudentData[[#This Row],[ProjectedGrade]]&gt;=10,"Pass","Fail")</f>
        <v>Pass</v>
      </c>
    </row>
    <row r="82" spans="1:4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  <c r="AH82" t="str">
        <f>IF(StudentData[[#This Row],[G3]]&gt;=10,"Pass","Fail")</f>
        <v>Pass</v>
      </c>
      <c r="AI82">
        <f>IF(StudentData[[#This Row],[G3]]&lt;StudentData[[#This Row],[G2]],1,0)</f>
        <v>0</v>
      </c>
      <c r="AJ82">
        <f>IF(StudentData[[#This Row],[failures]]&gt;=2,100,IF(StudentData[[#This Row],[failures]]=1,60,0))</f>
        <v>0</v>
      </c>
      <c r="AK82">
        <f>IF(StudentData[[#This Row],[absences]]&gt;15,80,IF(StudentData[[#This Row],[absences]]&gt;10,50,0))</f>
        <v>0</v>
      </c>
      <c r="AL82">
        <f>IF(StudentData[[#This Row],[studytime]]=1,70,IF(StudentData[[#This Row],[studytime]]=2,40,0))</f>
        <v>70</v>
      </c>
      <c r="AM82">
        <f>IF(StudentData[[#This Row],[GradeDrop]]=1,50,0)</f>
        <v>0</v>
      </c>
      <c r="AN82">
        <f>0.4*StudentData[[#This Row],[FailureScore]]+0.3*StudentData[[#This Row],[AbsenceScore]]+0.2*StudentData[[#This Row],[StudyRisk]]+0.1*StudentData[[#This Row],[TrendRisk]]</f>
        <v>14</v>
      </c>
      <c r="AO82" t="str">
        <f>IF(StudentData[[#This Row],[RiskIndex]]&lt;=30,"Low",IF(StudentData[[#This Row],[RiskIndex]]&lt;=60,"Medium","High"))</f>
        <v>Low</v>
      </c>
      <c r="AP82">
        <f>StudentData[[#This Row],[G3]]+('Intervention Simulator'!$C$2*1.5)</f>
        <v>12</v>
      </c>
      <c r="AQ82" t="str">
        <f>IF(StudentData[[#This Row],[ProjectedGrade]]&gt;=10,"Pass","Fail")</f>
        <v>Pass</v>
      </c>
    </row>
    <row r="83" spans="1:4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  <c r="AH83" t="str">
        <f>IF(StudentData[[#This Row],[G3]]&gt;=10,"Pass","Fail")</f>
        <v>Fail</v>
      </c>
      <c r="AI83">
        <f>IF(StudentData[[#This Row],[G3]]&lt;StudentData[[#This Row],[G2]],1,0)</f>
        <v>0</v>
      </c>
      <c r="AJ83">
        <f>IF(StudentData[[#This Row],[failures]]&gt;=2,100,IF(StudentData[[#This Row],[failures]]=1,60,0))</f>
        <v>0</v>
      </c>
      <c r="AK83">
        <f>IF(StudentData[[#This Row],[absences]]&gt;15,80,IF(StudentData[[#This Row],[absences]]&gt;10,50,0))</f>
        <v>0</v>
      </c>
      <c r="AL83">
        <f>IF(StudentData[[#This Row],[studytime]]=1,70,IF(StudentData[[#This Row],[studytime]]=2,40,0))</f>
        <v>0</v>
      </c>
      <c r="AM83">
        <f>IF(StudentData[[#This Row],[GradeDrop]]=1,50,0)</f>
        <v>0</v>
      </c>
      <c r="AN83">
        <f>0.4*StudentData[[#This Row],[FailureScore]]+0.3*StudentData[[#This Row],[AbsenceScore]]+0.2*StudentData[[#This Row],[StudyRisk]]+0.1*StudentData[[#This Row],[TrendRisk]]</f>
        <v>0</v>
      </c>
      <c r="AO83" t="str">
        <f>IF(StudentData[[#This Row],[RiskIndex]]&lt;=30,"Low",IF(StudentData[[#This Row],[RiskIndex]]&lt;=60,"Medium","High"))</f>
        <v>Low</v>
      </c>
      <c r="AP83">
        <f>StudentData[[#This Row],[G3]]+('Intervention Simulator'!$C$2*1.5)</f>
        <v>9</v>
      </c>
      <c r="AQ83" t="str">
        <f>IF(StudentData[[#This Row],[ProjectedGrade]]&gt;=10,"Pass","Fail")</f>
        <v>Fail</v>
      </c>
    </row>
    <row r="84" spans="1:4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  <c r="AH84" t="str">
        <f>IF(StudentData[[#This Row],[G3]]&gt;=10,"Pass","Fail")</f>
        <v>Pass</v>
      </c>
      <c r="AI84">
        <f>IF(StudentData[[#This Row],[G3]]&lt;StudentData[[#This Row],[G2]],1,0)</f>
        <v>0</v>
      </c>
      <c r="AJ84">
        <f>IF(StudentData[[#This Row],[failures]]&gt;=2,100,IF(StudentData[[#This Row],[failures]]=1,60,0))</f>
        <v>0</v>
      </c>
      <c r="AK84">
        <f>IF(StudentData[[#This Row],[absences]]&gt;15,80,IF(StudentData[[#This Row],[absences]]&gt;10,50,0))</f>
        <v>0</v>
      </c>
      <c r="AL84">
        <f>IF(StudentData[[#This Row],[studytime]]=1,70,IF(StudentData[[#This Row],[studytime]]=2,40,0))</f>
        <v>40</v>
      </c>
      <c r="AM84">
        <f>IF(StudentData[[#This Row],[GradeDrop]]=1,50,0)</f>
        <v>0</v>
      </c>
      <c r="AN84">
        <f>0.4*StudentData[[#This Row],[FailureScore]]+0.3*StudentData[[#This Row],[AbsenceScore]]+0.2*StudentData[[#This Row],[StudyRisk]]+0.1*StudentData[[#This Row],[TrendRisk]]</f>
        <v>8</v>
      </c>
      <c r="AO84" t="str">
        <f>IF(StudentData[[#This Row],[RiskIndex]]&lt;=30,"Low",IF(StudentData[[#This Row],[RiskIndex]]&lt;=60,"Medium","High"))</f>
        <v>Low</v>
      </c>
      <c r="AP84">
        <f>StudentData[[#This Row],[G3]]+('Intervention Simulator'!$C$2*1.5)</f>
        <v>11</v>
      </c>
      <c r="AQ84" t="str">
        <f>IF(StudentData[[#This Row],[ProjectedGrade]]&gt;=10,"Pass","Fail")</f>
        <v>Pass</v>
      </c>
    </row>
    <row r="85" spans="1:4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  <c r="AH85" t="str">
        <f>IF(StudentData[[#This Row],[G3]]&gt;=10,"Pass","Fail")</f>
        <v>Pass</v>
      </c>
      <c r="AI85">
        <f>IF(StudentData[[#This Row],[G3]]&lt;StudentData[[#This Row],[G2]],1,0)</f>
        <v>0</v>
      </c>
      <c r="AJ85">
        <f>IF(StudentData[[#This Row],[failures]]&gt;=2,100,IF(StudentData[[#This Row],[failures]]=1,60,0))</f>
        <v>0</v>
      </c>
      <c r="AK85">
        <f>IF(StudentData[[#This Row],[absences]]&gt;15,80,IF(StudentData[[#This Row],[absences]]&gt;10,50,0))</f>
        <v>0</v>
      </c>
      <c r="AL85">
        <f>IF(StudentData[[#This Row],[studytime]]=1,70,IF(StudentData[[#This Row],[studytime]]=2,40,0))</f>
        <v>40</v>
      </c>
      <c r="AM85">
        <f>IF(StudentData[[#This Row],[GradeDrop]]=1,50,0)</f>
        <v>0</v>
      </c>
      <c r="AN85">
        <f>0.4*StudentData[[#This Row],[FailureScore]]+0.3*StudentData[[#This Row],[AbsenceScore]]+0.2*StudentData[[#This Row],[StudyRisk]]+0.1*StudentData[[#This Row],[TrendRisk]]</f>
        <v>8</v>
      </c>
      <c r="AO85" t="str">
        <f>IF(StudentData[[#This Row],[RiskIndex]]&lt;=30,"Low",IF(StudentData[[#This Row],[RiskIndex]]&lt;=60,"Medium","High"))</f>
        <v>Low</v>
      </c>
      <c r="AP85">
        <f>StudentData[[#This Row],[G3]]+('Intervention Simulator'!$C$2*1.5)</f>
        <v>13</v>
      </c>
      <c r="AQ85" t="str">
        <f>IF(StudentData[[#This Row],[ProjectedGrade]]&gt;=10,"Pass","Fail")</f>
        <v>Pass</v>
      </c>
    </row>
    <row r="86" spans="1:4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  <c r="AH86" t="str">
        <f>IF(StudentData[[#This Row],[G3]]&gt;=10,"Pass","Fail")</f>
        <v>Pass</v>
      </c>
      <c r="AI86">
        <f>IF(StudentData[[#This Row],[G3]]&lt;StudentData[[#This Row],[G2]],1,0)</f>
        <v>0</v>
      </c>
      <c r="AJ86">
        <f>IF(StudentData[[#This Row],[failures]]&gt;=2,100,IF(StudentData[[#This Row],[failures]]=1,60,0))</f>
        <v>0</v>
      </c>
      <c r="AK86">
        <f>IF(StudentData[[#This Row],[absences]]&gt;15,80,IF(StudentData[[#This Row],[absences]]&gt;10,50,0))</f>
        <v>0</v>
      </c>
      <c r="AL86">
        <f>IF(StudentData[[#This Row],[studytime]]=1,70,IF(StudentData[[#This Row],[studytime]]=2,40,0))</f>
        <v>40</v>
      </c>
      <c r="AM86">
        <f>IF(StudentData[[#This Row],[GradeDrop]]=1,50,0)</f>
        <v>0</v>
      </c>
      <c r="AN86">
        <f>0.4*StudentData[[#This Row],[FailureScore]]+0.3*StudentData[[#This Row],[AbsenceScore]]+0.2*StudentData[[#This Row],[StudyRisk]]+0.1*StudentData[[#This Row],[TrendRisk]]</f>
        <v>8</v>
      </c>
      <c r="AO86" t="str">
        <f>IF(StudentData[[#This Row],[RiskIndex]]&lt;=30,"Low",IF(StudentData[[#This Row],[RiskIndex]]&lt;=60,"Medium","High"))</f>
        <v>Low</v>
      </c>
      <c r="AP86">
        <f>StudentData[[#This Row],[G3]]+('Intervention Simulator'!$C$2*1.5)</f>
        <v>12</v>
      </c>
      <c r="AQ86" t="str">
        <f>IF(StudentData[[#This Row],[ProjectedGrade]]&gt;=10,"Pass","Fail")</f>
        <v>Pass</v>
      </c>
    </row>
    <row r="87" spans="1:4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  <c r="AH87" t="str">
        <f>IF(StudentData[[#This Row],[G3]]&gt;=10,"Pass","Fail")</f>
        <v>Pass</v>
      </c>
      <c r="AI87">
        <f>IF(StudentData[[#This Row],[G3]]&lt;StudentData[[#This Row],[G2]],1,0)</f>
        <v>0</v>
      </c>
      <c r="AJ87">
        <f>IF(StudentData[[#This Row],[failures]]&gt;=2,100,IF(StudentData[[#This Row],[failures]]=1,60,0))</f>
        <v>0</v>
      </c>
      <c r="AK87">
        <f>IF(StudentData[[#This Row],[absences]]&gt;15,80,IF(StudentData[[#This Row],[absences]]&gt;10,50,0))</f>
        <v>0</v>
      </c>
      <c r="AL87">
        <f>IF(StudentData[[#This Row],[studytime]]=1,70,IF(StudentData[[#This Row],[studytime]]=2,40,0))</f>
        <v>40</v>
      </c>
      <c r="AM87">
        <f>IF(StudentData[[#This Row],[GradeDrop]]=1,50,0)</f>
        <v>0</v>
      </c>
      <c r="AN87">
        <f>0.4*StudentData[[#This Row],[FailureScore]]+0.3*StudentData[[#This Row],[AbsenceScore]]+0.2*StudentData[[#This Row],[StudyRisk]]+0.1*StudentData[[#This Row],[TrendRisk]]</f>
        <v>8</v>
      </c>
      <c r="AO87" t="str">
        <f>IF(StudentData[[#This Row],[RiskIndex]]&lt;=30,"Low",IF(StudentData[[#This Row],[RiskIndex]]&lt;=60,"Medium","High"))</f>
        <v>Low</v>
      </c>
      <c r="AP87">
        <f>StudentData[[#This Row],[G3]]+('Intervention Simulator'!$C$2*1.5)</f>
        <v>12</v>
      </c>
      <c r="AQ87" t="str">
        <f>IF(StudentData[[#This Row],[ProjectedGrade]]&gt;=10,"Pass","Fail")</f>
        <v>Pass</v>
      </c>
    </row>
    <row r="88" spans="1:4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  <c r="AH88" t="str">
        <f>IF(StudentData[[#This Row],[G3]]&gt;=10,"Pass","Fail")</f>
        <v>Pass</v>
      </c>
      <c r="AI88">
        <f>IF(StudentData[[#This Row],[G3]]&lt;StudentData[[#This Row],[G2]],1,0)</f>
        <v>0</v>
      </c>
      <c r="AJ88">
        <f>IF(StudentData[[#This Row],[failures]]&gt;=2,100,IF(StudentData[[#This Row],[failures]]=1,60,0))</f>
        <v>0</v>
      </c>
      <c r="AK88">
        <f>IF(StudentData[[#This Row],[absences]]&gt;15,80,IF(StudentData[[#This Row],[absences]]&gt;10,50,0))</f>
        <v>0</v>
      </c>
      <c r="AL88">
        <f>IF(StudentData[[#This Row],[studytime]]=1,70,IF(StudentData[[#This Row],[studytime]]=2,40,0))</f>
        <v>40</v>
      </c>
      <c r="AM88">
        <f>IF(StudentData[[#This Row],[GradeDrop]]=1,50,0)</f>
        <v>0</v>
      </c>
      <c r="AN88">
        <f>0.4*StudentData[[#This Row],[FailureScore]]+0.3*StudentData[[#This Row],[AbsenceScore]]+0.2*StudentData[[#This Row],[StudyRisk]]+0.1*StudentData[[#This Row],[TrendRisk]]</f>
        <v>8</v>
      </c>
      <c r="AO88" t="str">
        <f>IF(StudentData[[#This Row],[RiskIndex]]&lt;=30,"Low",IF(StudentData[[#This Row],[RiskIndex]]&lt;=60,"Medium","High"))</f>
        <v>Low</v>
      </c>
      <c r="AP88">
        <f>StudentData[[#This Row],[G3]]+('Intervention Simulator'!$C$2*1.5)</f>
        <v>11</v>
      </c>
      <c r="AQ88" t="str">
        <f>IF(StudentData[[#This Row],[ProjectedGrade]]&gt;=10,"Pass","Fail")</f>
        <v>Pass</v>
      </c>
    </row>
    <row r="89" spans="1:4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  <c r="AH89" t="str">
        <f>IF(StudentData[[#This Row],[G3]]&gt;=10,"Pass","Fail")</f>
        <v>Pass</v>
      </c>
      <c r="AI89">
        <f>IF(StudentData[[#This Row],[G3]]&lt;StudentData[[#This Row],[G2]],1,0)</f>
        <v>0</v>
      </c>
      <c r="AJ89">
        <f>IF(StudentData[[#This Row],[failures]]&gt;=2,100,IF(StudentData[[#This Row],[failures]]=1,60,0))</f>
        <v>0</v>
      </c>
      <c r="AK89">
        <f>IF(StudentData[[#This Row],[absences]]&gt;15,80,IF(StudentData[[#This Row],[absences]]&gt;10,50,0))</f>
        <v>0</v>
      </c>
      <c r="AL89">
        <f>IF(StudentData[[#This Row],[studytime]]=1,70,IF(StudentData[[#This Row],[studytime]]=2,40,0))</f>
        <v>0</v>
      </c>
      <c r="AM89">
        <f>IF(StudentData[[#This Row],[GradeDrop]]=1,50,0)</f>
        <v>0</v>
      </c>
      <c r="AN89">
        <f>0.4*StudentData[[#This Row],[FailureScore]]+0.3*StudentData[[#This Row],[AbsenceScore]]+0.2*StudentData[[#This Row],[StudyRisk]]+0.1*StudentData[[#This Row],[TrendRisk]]</f>
        <v>0</v>
      </c>
      <c r="AO89" t="str">
        <f>IF(StudentData[[#This Row],[RiskIndex]]&lt;=30,"Low",IF(StudentData[[#This Row],[RiskIndex]]&lt;=60,"Medium","High"))</f>
        <v>Low</v>
      </c>
      <c r="AP89">
        <f>StudentData[[#This Row],[G3]]+('Intervention Simulator'!$C$2*1.5)</f>
        <v>15</v>
      </c>
      <c r="AQ89" t="str">
        <f>IF(StudentData[[#This Row],[ProjectedGrade]]&gt;=10,"Pass","Fail")</f>
        <v>Pass</v>
      </c>
    </row>
    <row r="90" spans="1:4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  <c r="AH90" t="str">
        <f>IF(StudentData[[#This Row],[G3]]&gt;=10,"Pass","Fail")</f>
        <v>Pass</v>
      </c>
      <c r="AI90">
        <f>IF(StudentData[[#This Row],[G3]]&lt;StudentData[[#This Row],[G2]],1,0)</f>
        <v>0</v>
      </c>
      <c r="AJ90">
        <f>IF(StudentData[[#This Row],[failures]]&gt;=2,100,IF(StudentData[[#This Row],[failures]]=1,60,0))</f>
        <v>0</v>
      </c>
      <c r="AK90">
        <f>IF(StudentData[[#This Row],[absences]]&gt;15,80,IF(StudentData[[#This Row],[absences]]&gt;10,50,0))</f>
        <v>0</v>
      </c>
      <c r="AL90">
        <f>IF(StudentData[[#This Row],[studytime]]=1,70,IF(StudentData[[#This Row],[studytime]]=2,40,0))</f>
        <v>40</v>
      </c>
      <c r="AM90">
        <f>IF(StudentData[[#This Row],[GradeDrop]]=1,50,0)</f>
        <v>0</v>
      </c>
      <c r="AN90">
        <f>0.4*StudentData[[#This Row],[FailureScore]]+0.3*StudentData[[#This Row],[AbsenceScore]]+0.2*StudentData[[#This Row],[StudyRisk]]+0.1*StudentData[[#This Row],[TrendRisk]]</f>
        <v>8</v>
      </c>
      <c r="AO90" t="str">
        <f>IF(StudentData[[#This Row],[RiskIndex]]&lt;=30,"Low",IF(StudentData[[#This Row],[RiskIndex]]&lt;=60,"Medium","High"))</f>
        <v>Low</v>
      </c>
      <c r="AP90">
        <f>StudentData[[#This Row],[G3]]+('Intervention Simulator'!$C$2*1.5)</f>
        <v>11</v>
      </c>
      <c r="AQ90" t="str">
        <f>IF(StudentData[[#This Row],[ProjectedGrade]]&gt;=10,"Pass","Fail")</f>
        <v>Pass</v>
      </c>
    </row>
    <row r="91" spans="1:4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  <c r="AH91" t="str">
        <f>IF(StudentData[[#This Row],[G3]]&gt;=10,"Pass","Fail")</f>
        <v>Pass</v>
      </c>
      <c r="AI91">
        <f>IF(StudentData[[#This Row],[G3]]&lt;StudentData[[#This Row],[G2]],1,0)</f>
        <v>0</v>
      </c>
      <c r="AJ91">
        <f>IF(StudentData[[#This Row],[failures]]&gt;=2,100,IF(StudentData[[#This Row],[failures]]=1,60,0))</f>
        <v>0</v>
      </c>
      <c r="AK91">
        <f>IF(StudentData[[#This Row],[absences]]&gt;15,80,IF(StudentData[[#This Row],[absences]]&gt;10,50,0))</f>
        <v>0</v>
      </c>
      <c r="AL91">
        <f>IF(StudentData[[#This Row],[studytime]]=1,70,IF(StudentData[[#This Row],[studytime]]=2,40,0))</f>
        <v>40</v>
      </c>
      <c r="AM91">
        <f>IF(StudentData[[#This Row],[GradeDrop]]=1,50,0)</f>
        <v>0</v>
      </c>
      <c r="AN91">
        <f>0.4*StudentData[[#This Row],[FailureScore]]+0.3*StudentData[[#This Row],[AbsenceScore]]+0.2*StudentData[[#This Row],[StudyRisk]]+0.1*StudentData[[#This Row],[TrendRisk]]</f>
        <v>8</v>
      </c>
      <c r="AO91" t="str">
        <f>IF(StudentData[[#This Row],[RiskIndex]]&lt;=30,"Low",IF(StudentData[[#This Row],[RiskIndex]]&lt;=60,"Medium","High"))</f>
        <v>Low</v>
      </c>
      <c r="AP91">
        <f>StudentData[[#This Row],[G3]]+('Intervention Simulator'!$C$2*1.5)</f>
        <v>10</v>
      </c>
      <c r="AQ91" t="str">
        <f>IF(StudentData[[#This Row],[ProjectedGrade]]&gt;=10,"Pass","Fail")</f>
        <v>Pass</v>
      </c>
    </row>
    <row r="92" spans="1:4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  <c r="AH92" t="str">
        <f>IF(StudentData[[#This Row],[G3]]&gt;=10,"Pass","Fail")</f>
        <v>Pass</v>
      </c>
      <c r="AI92">
        <f>IF(StudentData[[#This Row],[G3]]&lt;StudentData[[#This Row],[G2]],1,0)</f>
        <v>0</v>
      </c>
      <c r="AJ92">
        <f>IF(StudentData[[#This Row],[failures]]&gt;=2,100,IF(StudentData[[#This Row],[failures]]=1,60,0))</f>
        <v>0</v>
      </c>
      <c r="AK92">
        <f>IF(StudentData[[#This Row],[absences]]&gt;15,80,IF(StudentData[[#This Row],[absences]]&gt;10,50,0))</f>
        <v>0</v>
      </c>
      <c r="AL92">
        <f>IF(StudentData[[#This Row],[studytime]]=1,70,IF(StudentData[[#This Row],[studytime]]=2,40,0))</f>
        <v>0</v>
      </c>
      <c r="AM92">
        <f>IF(StudentData[[#This Row],[GradeDrop]]=1,50,0)</f>
        <v>0</v>
      </c>
      <c r="AN92">
        <f>0.4*StudentData[[#This Row],[FailureScore]]+0.3*StudentData[[#This Row],[AbsenceScore]]+0.2*StudentData[[#This Row],[StudyRisk]]+0.1*StudentData[[#This Row],[TrendRisk]]</f>
        <v>0</v>
      </c>
      <c r="AO92" t="str">
        <f>IF(StudentData[[#This Row],[RiskIndex]]&lt;=30,"Low",IF(StudentData[[#This Row],[RiskIndex]]&lt;=60,"Medium","High"))</f>
        <v>Low</v>
      </c>
      <c r="AP92">
        <f>StudentData[[#This Row],[G3]]+('Intervention Simulator'!$C$2*1.5)</f>
        <v>11</v>
      </c>
      <c r="AQ92" t="str">
        <f>IF(StudentData[[#This Row],[ProjectedGrade]]&gt;=10,"Pass","Fail")</f>
        <v>Pass</v>
      </c>
    </row>
    <row r="93" spans="1:4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  <c r="AH93" t="str">
        <f>IF(StudentData[[#This Row],[G3]]&gt;=10,"Pass","Fail")</f>
        <v>Pass</v>
      </c>
      <c r="AI93">
        <f>IF(StudentData[[#This Row],[G3]]&lt;StudentData[[#This Row],[G2]],1,0)</f>
        <v>0</v>
      </c>
      <c r="AJ93">
        <f>IF(StudentData[[#This Row],[failures]]&gt;=2,100,IF(StudentData[[#This Row],[failures]]=1,60,0))</f>
        <v>0</v>
      </c>
      <c r="AK93">
        <f>IF(StudentData[[#This Row],[absences]]&gt;15,80,IF(StudentData[[#This Row],[absences]]&gt;10,50,0))</f>
        <v>0</v>
      </c>
      <c r="AL93">
        <f>IF(StudentData[[#This Row],[studytime]]=1,70,IF(StudentData[[#This Row],[studytime]]=2,40,0))</f>
        <v>70</v>
      </c>
      <c r="AM93">
        <f>IF(StudentData[[#This Row],[GradeDrop]]=1,50,0)</f>
        <v>0</v>
      </c>
      <c r="AN93">
        <f>0.4*StudentData[[#This Row],[FailureScore]]+0.3*StudentData[[#This Row],[AbsenceScore]]+0.2*StudentData[[#This Row],[StudyRisk]]+0.1*StudentData[[#This Row],[TrendRisk]]</f>
        <v>14</v>
      </c>
      <c r="AO93" t="str">
        <f>IF(StudentData[[#This Row],[RiskIndex]]&lt;=30,"Low",IF(StudentData[[#This Row],[RiskIndex]]&lt;=60,"Medium","High"))</f>
        <v>Low</v>
      </c>
      <c r="AP93">
        <f>StudentData[[#This Row],[G3]]+('Intervention Simulator'!$C$2*1.5)</f>
        <v>13</v>
      </c>
      <c r="AQ93" t="str">
        <f>IF(StudentData[[#This Row],[ProjectedGrade]]&gt;=10,"Pass","Fail")</f>
        <v>Pass</v>
      </c>
    </row>
    <row r="94" spans="1:4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  <c r="AH94" t="str">
        <f>IF(StudentData[[#This Row],[G3]]&gt;=10,"Pass","Fail")</f>
        <v>Pass</v>
      </c>
      <c r="AI94">
        <f>IF(StudentData[[#This Row],[G3]]&lt;StudentData[[#This Row],[G2]],1,0)</f>
        <v>1</v>
      </c>
      <c r="AJ94">
        <f>IF(StudentData[[#This Row],[failures]]&gt;=2,100,IF(StudentData[[#This Row],[failures]]=1,60,0))</f>
        <v>0</v>
      </c>
      <c r="AK94">
        <f>IF(StudentData[[#This Row],[absences]]&gt;15,80,IF(StudentData[[#This Row],[absences]]&gt;10,50,0))</f>
        <v>0</v>
      </c>
      <c r="AL94">
        <f>IF(StudentData[[#This Row],[studytime]]=1,70,IF(StudentData[[#This Row],[studytime]]=2,40,0))</f>
        <v>40</v>
      </c>
      <c r="AM94">
        <f>IF(StudentData[[#This Row],[GradeDrop]]=1,50,0)</f>
        <v>50</v>
      </c>
      <c r="AN94">
        <f>0.4*StudentData[[#This Row],[FailureScore]]+0.3*StudentData[[#This Row],[AbsenceScore]]+0.2*StudentData[[#This Row],[StudyRisk]]+0.1*StudentData[[#This Row],[TrendRisk]]</f>
        <v>13</v>
      </c>
      <c r="AO94" t="str">
        <f>IF(StudentData[[#This Row],[RiskIndex]]&lt;=30,"Low",IF(StudentData[[#This Row],[RiskIndex]]&lt;=60,"Medium","High"))</f>
        <v>Low</v>
      </c>
      <c r="AP94">
        <f>StudentData[[#This Row],[G3]]+('Intervention Simulator'!$C$2*1.5)</f>
        <v>12</v>
      </c>
      <c r="AQ94" t="str">
        <f>IF(StudentData[[#This Row],[ProjectedGrade]]&gt;=10,"Pass","Fail")</f>
        <v>Pass</v>
      </c>
    </row>
    <row r="95" spans="1:4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  <c r="AH95" t="str">
        <f>IF(StudentData[[#This Row],[G3]]&gt;=10,"Pass","Fail")</f>
        <v>Pass</v>
      </c>
      <c r="AI95">
        <f>IF(StudentData[[#This Row],[G3]]&lt;StudentData[[#This Row],[G2]],1,0)</f>
        <v>0</v>
      </c>
      <c r="AJ95">
        <f>IF(StudentData[[#This Row],[failures]]&gt;=2,100,IF(StudentData[[#This Row],[failures]]=1,60,0))</f>
        <v>0</v>
      </c>
      <c r="AK95">
        <f>IF(StudentData[[#This Row],[absences]]&gt;15,80,IF(StudentData[[#This Row],[absences]]&gt;10,50,0))</f>
        <v>0</v>
      </c>
      <c r="AL95">
        <f>IF(StudentData[[#This Row],[studytime]]=1,70,IF(StudentData[[#This Row],[studytime]]=2,40,0))</f>
        <v>40</v>
      </c>
      <c r="AM95">
        <f>IF(StudentData[[#This Row],[GradeDrop]]=1,50,0)</f>
        <v>0</v>
      </c>
      <c r="AN95">
        <f>0.4*StudentData[[#This Row],[FailureScore]]+0.3*StudentData[[#This Row],[AbsenceScore]]+0.2*StudentData[[#This Row],[StudyRisk]]+0.1*StudentData[[#This Row],[TrendRisk]]</f>
        <v>8</v>
      </c>
      <c r="AO95" t="str">
        <f>IF(StudentData[[#This Row],[RiskIndex]]&lt;=30,"Low",IF(StudentData[[#This Row],[RiskIndex]]&lt;=60,"Medium","High"))</f>
        <v>Low</v>
      </c>
      <c r="AP95">
        <f>StudentData[[#This Row],[G3]]+('Intervention Simulator'!$C$2*1.5)</f>
        <v>14</v>
      </c>
      <c r="AQ95" t="str">
        <f>IF(StudentData[[#This Row],[ProjectedGrade]]&gt;=10,"Pass","Fail")</f>
        <v>Pass</v>
      </c>
    </row>
    <row r="96" spans="1:4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  <c r="AH96" t="str">
        <f>IF(StudentData[[#This Row],[G3]]&gt;=10,"Pass","Fail")</f>
        <v>Pass</v>
      </c>
      <c r="AI96">
        <f>IF(StudentData[[#This Row],[G3]]&lt;StudentData[[#This Row],[G2]],1,0)</f>
        <v>0</v>
      </c>
      <c r="AJ96">
        <f>IF(StudentData[[#This Row],[failures]]&gt;=2,100,IF(StudentData[[#This Row],[failures]]=1,60,0))</f>
        <v>0</v>
      </c>
      <c r="AK96">
        <f>IF(StudentData[[#This Row],[absences]]&gt;15,80,IF(StudentData[[#This Row],[absences]]&gt;10,50,0))</f>
        <v>0</v>
      </c>
      <c r="AL96">
        <f>IF(StudentData[[#This Row],[studytime]]=1,70,IF(StudentData[[#This Row],[studytime]]=2,40,0))</f>
        <v>0</v>
      </c>
      <c r="AM96">
        <f>IF(StudentData[[#This Row],[GradeDrop]]=1,50,0)</f>
        <v>0</v>
      </c>
      <c r="AN96">
        <f>0.4*StudentData[[#This Row],[FailureScore]]+0.3*StudentData[[#This Row],[AbsenceScore]]+0.2*StudentData[[#This Row],[StudyRisk]]+0.1*StudentData[[#This Row],[TrendRisk]]</f>
        <v>0</v>
      </c>
      <c r="AO96" t="str">
        <f>IF(StudentData[[#This Row],[RiskIndex]]&lt;=30,"Low",IF(StudentData[[#This Row],[RiskIndex]]&lt;=60,"Medium","High"))</f>
        <v>Low</v>
      </c>
      <c r="AP96">
        <f>StudentData[[#This Row],[G3]]+('Intervention Simulator'!$C$2*1.5)</f>
        <v>12</v>
      </c>
      <c r="AQ96" t="str">
        <f>IF(StudentData[[#This Row],[ProjectedGrade]]&gt;=10,"Pass","Fail")</f>
        <v>Pass</v>
      </c>
    </row>
    <row r="97" spans="1:4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  <c r="AH97" t="str">
        <f>IF(StudentData[[#This Row],[G3]]&gt;=10,"Pass","Fail")</f>
        <v>Pass</v>
      </c>
      <c r="AI97">
        <f>IF(StudentData[[#This Row],[G3]]&lt;StudentData[[#This Row],[G2]],1,0)</f>
        <v>0</v>
      </c>
      <c r="AJ97">
        <f>IF(StudentData[[#This Row],[failures]]&gt;=2,100,IF(StudentData[[#This Row],[failures]]=1,60,0))</f>
        <v>0</v>
      </c>
      <c r="AK97">
        <f>IF(StudentData[[#This Row],[absences]]&gt;15,80,IF(StudentData[[#This Row],[absences]]&gt;10,50,0))</f>
        <v>0</v>
      </c>
      <c r="AL97">
        <f>IF(StudentData[[#This Row],[studytime]]=1,70,IF(StudentData[[#This Row],[studytime]]=2,40,0))</f>
        <v>0</v>
      </c>
      <c r="AM97">
        <f>IF(StudentData[[#This Row],[GradeDrop]]=1,50,0)</f>
        <v>0</v>
      </c>
      <c r="AN97">
        <f>0.4*StudentData[[#This Row],[FailureScore]]+0.3*StudentData[[#This Row],[AbsenceScore]]+0.2*StudentData[[#This Row],[StudyRisk]]+0.1*StudentData[[#This Row],[TrendRisk]]</f>
        <v>0</v>
      </c>
      <c r="AO97" t="str">
        <f>IF(StudentData[[#This Row],[RiskIndex]]&lt;=30,"Low",IF(StudentData[[#This Row],[RiskIndex]]&lt;=60,"Medium","High"))</f>
        <v>Low</v>
      </c>
      <c r="AP97">
        <f>StudentData[[#This Row],[G3]]+('Intervention Simulator'!$C$2*1.5)</f>
        <v>13</v>
      </c>
      <c r="AQ97" t="str">
        <f>IF(StudentData[[#This Row],[ProjectedGrade]]&gt;=10,"Pass","Fail")</f>
        <v>Pass</v>
      </c>
    </row>
    <row r="98" spans="1:4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  <c r="AH98" t="str">
        <f>IF(StudentData[[#This Row],[G3]]&gt;=10,"Pass","Fail")</f>
        <v>Pass</v>
      </c>
      <c r="AI98">
        <f>IF(StudentData[[#This Row],[G3]]&lt;StudentData[[#This Row],[G2]],1,0)</f>
        <v>0</v>
      </c>
      <c r="AJ98">
        <f>IF(StudentData[[#This Row],[failures]]&gt;=2,100,IF(StudentData[[#This Row],[failures]]=1,60,0))</f>
        <v>0</v>
      </c>
      <c r="AK98">
        <f>IF(StudentData[[#This Row],[absences]]&gt;15,80,IF(StudentData[[#This Row],[absences]]&gt;10,50,0))</f>
        <v>0</v>
      </c>
      <c r="AL98">
        <f>IF(StudentData[[#This Row],[studytime]]=1,70,IF(StudentData[[#This Row],[studytime]]=2,40,0))</f>
        <v>70</v>
      </c>
      <c r="AM98">
        <f>IF(StudentData[[#This Row],[GradeDrop]]=1,50,0)</f>
        <v>0</v>
      </c>
      <c r="AN98">
        <f>0.4*StudentData[[#This Row],[FailureScore]]+0.3*StudentData[[#This Row],[AbsenceScore]]+0.2*StudentData[[#This Row],[StudyRisk]]+0.1*StudentData[[#This Row],[TrendRisk]]</f>
        <v>14</v>
      </c>
      <c r="AO98" t="str">
        <f>IF(StudentData[[#This Row],[RiskIndex]]&lt;=30,"Low",IF(StudentData[[#This Row],[RiskIndex]]&lt;=60,"Medium","High"))</f>
        <v>Low</v>
      </c>
      <c r="AP98">
        <f>StudentData[[#This Row],[G3]]+('Intervention Simulator'!$C$2*1.5)</f>
        <v>11</v>
      </c>
      <c r="AQ98" t="str">
        <f>IF(StudentData[[#This Row],[ProjectedGrade]]&gt;=10,"Pass","Fail")</f>
        <v>Pass</v>
      </c>
    </row>
    <row r="99" spans="1:4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  <c r="AH99" t="str">
        <f>IF(StudentData[[#This Row],[G3]]&gt;=10,"Pass","Fail")</f>
        <v>Pass</v>
      </c>
      <c r="AI99">
        <f>IF(StudentData[[#This Row],[G3]]&lt;StudentData[[#This Row],[G2]],1,0)</f>
        <v>0</v>
      </c>
      <c r="AJ99">
        <f>IF(StudentData[[#This Row],[failures]]&gt;=2,100,IF(StudentData[[#This Row],[failures]]=1,60,0))</f>
        <v>0</v>
      </c>
      <c r="AK99">
        <f>IF(StudentData[[#This Row],[absences]]&gt;15,80,IF(StudentData[[#This Row],[absences]]&gt;10,50,0))</f>
        <v>0</v>
      </c>
      <c r="AL99">
        <f>IF(StudentData[[#This Row],[studytime]]=1,70,IF(StudentData[[#This Row],[studytime]]=2,40,0))</f>
        <v>40</v>
      </c>
      <c r="AM99">
        <f>IF(StudentData[[#This Row],[GradeDrop]]=1,50,0)</f>
        <v>0</v>
      </c>
      <c r="AN99">
        <f>0.4*StudentData[[#This Row],[FailureScore]]+0.3*StudentData[[#This Row],[AbsenceScore]]+0.2*StudentData[[#This Row],[StudyRisk]]+0.1*StudentData[[#This Row],[TrendRisk]]</f>
        <v>8</v>
      </c>
      <c r="AO99" t="str">
        <f>IF(StudentData[[#This Row],[RiskIndex]]&lt;=30,"Low",IF(StudentData[[#This Row],[RiskIndex]]&lt;=60,"Medium","High"))</f>
        <v>Low</v>
      </c>
      <c r="AP99">
        <f>StudentData[[#This Row],[G3]]+('Intervention Simulator'!$C$2*1.5)</f>
        <v>12</v>
      </c>
      <c r="AQ99" t="str">
        <f>IF(StudentData[[#This Row],[ProjectedGrade]]&gt;=10,"Pass","Fail")</f>
        <v>Pass</v>
      </c>
    </row>
    <row r="100" spans="1:4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  <c r="AH100" t="str">
        <f>IF(StudentData[[#This Row],[G3]]&gt;=10,"Pass","Fail")</f>
        <v>Pass</v>
      </c>
      <c r="AI100">
        <f>IF(StudentData[[#This Row],[G3]]&lt;StudentData[[#This Row],[G2]],1,0)</f>
        <v>0</v>
      </c>
      <c r="AJ100">
        <f>IF(StudentData[[#This Row],[failures]]&gt;=2,100,IF(StudentData[[#This Row],[failures]]=1,60,0))</f>
        <v>0</v>
      </c>
      <c r="AK100">
        <f>IF(StudentData[[#This Row],[absences]]&gt;15,80,IF(StudentData[[#This Row],[absences]]&gt;10,50,0))</f>
        <v>0</v>
      </c>
      <c r="AL100">
        <f>IF(StudentData[[#This Row],[studytime]]=1,70,IF(StudentData[[#This Row],[studytime]]=2,40,0))</f>
        <v>70</v>
      </c>
      <c r="AM100">
        <f>IF(StudentData[[#This Row],[GradeDrop]]=1,50,0)</f>
        <v>0</v>
      </c>
      <c r="AN100">
        <f>0.4*StudentData[[#This Row],[FailureScore]]+0.3*StudentData[[#This Row],[AbsenceScore]]+0.2*StudentData[[#This Row],[StudyRisk]]+0.1*StudentData[[#This Row],[TrendRisk]]</f>
        <v>14</v>
      </c>
      <c r="AO100" t="str">
        <f>IF(StudentData[[#This Row],[RiskIndex]]&lt;=30,"Low",IF(StudentData[[#This Row],[RiskIndex]]&lt;=60,"Medium","High"))</f>
        <v>Low</v>
      </c>
      <c r="AP100">
        <f>StudentData[[#This Row],[G3]]+('Intervention Simulator'!$C$2*1.5)</f>
        <v>13</v>
      </c>
      <c r="AQ100" t="str">
        <f>IF(StudentData[[#This Row],[ProjectedGrade]]&gt;=10,"Pass","Fail")</f>
        <v>Pass</v>
      </c>
    </row>
    <row r="101" spans="1:4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  <c r="AH101" t="str">
        <f>IF(StudentData[[#This Row],[G3]]&gt;=10,"Pass","Fail")</f>
        <v>Pass</v>
      </c>
      <c r="AI101">
        <f>IF(StudentData[[#This Row],[G3]]&lt;StudentData[[#This Row],[G2]],1,0)</f>
        <v>0</v>
      </c>
      <c r="AJ101">
        <f>IF(StudentData[[#This Row],[failures]]&gt;=2,100,IF(StudentData[[#This Row],[failures]]=1,60,0))</f>
        <v>0</v>
      </c>
      <c r="AK101">
        <f>IF(StudentData[[#This Row],[absences]]&gt;15,80,IF(StudentData[[#This Row],[absences]]&gt;10,50,0))</f>
        <v>0</v>
      </c>
      <c r="AL101">
        <f>IF(StudentData[[#This Row],[studytime]]=1,70,IF(StudentData[[#This Row],[studytime]]=2,40,0))</f>
        <v>0</v>
      </c>
      <c r="AM101">
        <f>IF(StudentData[[#This Row],[GradeDrop]]=1,50,0)</f>
        <v>0</v>
      </c>
      <c r="AN101">
        <f>0.4*StudentData[[#This Row],[FailureScore]]+0.3*StudentData[[#This Row],[AbsenceScore]]+0.2*StudentData[[#This Row],[StudyRisk]]+0.1*StudentData[[#This Row],[TrendRisk]]</f>
        <v>0</v>
      </c>
      <c r="AO101" t="str">
        <f>IF(StudentData[[#This Row],[RiskIndex]]&lt;=30,"Low",IF(StudentData[[#This Row],[RiskIndex]]&lt;=60,"Medium","High"))</f>
        <v>Low</v>
      </c>
      <c r="AP101">
        <f>StudentData[[#This Row],[G3]]+('Intervention Simulator'!$C$2*1.5)</f>
        <v>13</v>
      </c>
      <c r="AQ101" t="str">
        <f>IF(StudentData[[#This Row],[ProjectedGrade]]&gt;=10,"Pass","Fail")</f>
        <v>Pass</v>
      </c>
    </row>
    <row r="102" spans="1:4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  <c r="AH102" t="str">
        <f>IF(StudentData[[#This Row],[G3]]&gt;=10,"Pass","Fail")</f>
        <v>Fail</v>
      </c>
      <c r="AI102">
        <f>IF(StudentData[[#This Row],[G3]]&lt;StudentData[[#This Row],[G2]],1,0)</f>
        <v>1</v>
      </c>
      <c r="AJ102">
        <f>IF(StudentData[[#This Row],[failures]]&gt;=2,100,IF(StudentData[[#This Row],[failures]]=1,60,0))</f>
        <v>0</v>
      </c>
      <c r="AK102">
        <f>IF(StudentData[[#This Row],[absences]]&gt;15,80,IF(StudentData[[#This Row],[absences]]&gt;10,50,0))</f>
        <v>50</v>
      </c>
      <c r="AL102">
        <f>IF(StudentData[[#This Row],[studytime]]=1,70,IF(StudentData[[#This Row],[studytime]]=2,40,0))</f>
        <v>70</v>
      </c>
      <c r="AM102">
        <f>IF(StudentData[[#This Row],[GradeDrop]]=1,50,0)</f>
        <v>50</v>
      </c>
      <c r="AN102">
        <f>0.4*StudentData[[#This Row],[FailureScore]]+0.3*StudentData[[#This Row],[AbsenceScore]]+0.2*StudentData[[#This Row],[StudyRisk]]+0.1*StudentData[[#This Row],[TrendRisk]]</f>
        <v>34</v>
      </c>
      <c r="AO102" t="str">
        <f>IF(StudentData[[#This Row],[RiskIndex]]&lt;=30,"Low",IF(StudentData[[#This Row],[RiskIndex]]&lt;=60,"Medium","High"))</f>
        <v>Medium</v>
      </c>
      <c r="AP102">
        <f>StudentData[[#This Row],[G3]]+('Intervention Simulator'!$C$2*1.5)</f>
        <v>8</v>
      </c>
      <c r="AQ102" t="str">
        <f>IF(StudentData[[#This Row],[ProjectedGrade]]&gt;=10,"Pass","Fail")</f>
        <v>Fail</v>
      </c>
    </row>
    <row r="103" spans="1:4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  <c r="AH103" t="str">
        <f>IF(StudentData[[#This Row],[G3]]&gt;=10,"Pass","Fail")</f>
        <v>Pass</v>
      </c>
      <c r="AI103">
        <f>IF(StudentData[[#This Row],[G3]]&lt;StudentData[[#This Row],[G2]],1,0)</f>
        <v>0</v>
      </c>
      <c r="AJ103">
        <f>IF(StudentData[[#This Row],[failures]]&gt;=2,100,IF(StudentData[[#This Row],[failures]]=1,60,0))</f>
        <v>0</v>
      </c>
      <c r="AK103">
        <f>IF(StudentData[[#This Row],[absences]]&gt;15,80,IF(StudentData[[#This Row],[absences]]&gt;10,50,0))</f>
        <v>0</v>
      </c>
      <c r="AL103">
        <f>IF(StudentData[[#This Row],[studytime]]=1,70,IF(StudentData[[#This Row],[studytime]]=2,40,0))</f>
        <v>0</v>
      </c>
      <c r="AM103">
        <f>IF(StudentData[[#This Row],[GradeDrop]]=1,50,0)</f>
        <v>0</v>
      </c>
      <c r="AN103">
        <f>0.4*StudentData[[#This Row],[FailureScore]]+0.3*StudentData[[#This Row],[AbsenceScore]]+0.2*StudentData[[#This Row],[StudyRisk]]+0.1*StudentData[[#This Row],[TrendRisk]]</f>
        <v>0</v>
      </c>
      <c r="AO103" t="str">
        <f>IF(StudentData[[#This Row],[RiskIndex]]&lt;=30,"Low",IF(StudentData[[#This Row],[RiskIndex]]&lt;=60,"Medium","High"))</f>
        <v>Low</v>
      </c>
      <c r="AP103">
        <f>StudentData[[#This Row],[G3]]+('Intervention Simulator'!$C$2*1.5)</f>
        <v>16</v>
      </c>
      <c r="AQ103" t="str">
        <f>IF(StudentData[[#This Row],[ProjectedGrade]]&gt;=10,"Pass","Fail")</f>
        <v>Pass</v>
      </c>
    </row>
    <row r="104" spans="1:4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  <c r="AH104" t="str">
        <f>IF(StudentData[[#This Row],[G3]]&gt;=10,"Pass","Fail")</f>
        <v>Pass</v>
      </c>
      <c r="AI104">
        <f>IF(StudentData[[#This Row],[G3]]&lt;StudentData[[#This Row],[G2]],1,0)</f>
        <v>1</v>
      </c>
      <c r="AJ104">
        <f>IF(StudentData[[#This Row],[failures]]&gt;=2,100,IF(StudentData[[#This Row],[failures]]=1,60,0))</f>
        <v>0</v>
      </c>
      <c r="AK104">
        <f>IF(StudentData[[#This Row],[absences]]&gt;15,80,IF(StudentData[[#This Row],[absences]]&gt;10,50,0))</f>
        <v>0</v>
      </c>
      <c r="AL104">
        <f>IF(StudentData[[#This Row],[studytime]]=1,70,IF(StudentData[[#This Row],[studytime]]=2,40,0))</f>
        <v>70</v>
      </c>
      <c r="AM104">
        <f>IF(StudentData[[#This Row],[GradeDrop]]=1,50,0)</f>
        <v>50</v>
      </c>
      <c r="AN104">
        <f>0.4*StudentData[[#This Row],[FailureScore]]+0.3*StudentData[[#This Row],[AbsenceScore]]+0.2*StudentData[[#This Row],[StudyRisk]]+0.1*StudentData[[#This Row],[TrendRisk]]</f>
        <v>19</v>
      </c>
      <c r="AO104" t="str">
        <f>IF(StudentData[[#This Row],[RiskIndex]]&lt;=30,"Low",IF(StudentData[[#This Row],[RiskIndex]]&lt;=60,"Medium","High"))</f>
        <v>Low</v>
      </c>
      <c r="AP104">
        <f>StudentData[[#This Row],[G3]]+('Intervention Simulator'!$C$2*1.5)</f>
        <v>12</v>
      </c>
      <c r="AQ104" t="str">
        <f>IF(StudentData[[#This Row],[ProjectedGrade]]&gt;=10,"Pass","Fail")</f>
        <v>Pass</v>
      </c>
    </row>
    <row r="105" spans="1:4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  <c r="AH105" t="str">
        <f>IF(StudentData[[#This Row],[G3]]&gt;=10,"Pass","Fail")</f>
        <v>Pass</v>
      </c>
      <c r="AI105">
        <f>IF(StudentData[[#This Row],[G3]]&lt;StudentData[[#This Row],[G2]],1,0)</f>
        <v>0</v>
      </c>
      <c r="AJ105">
        <f>IF(StudentData[[#This Row],[failures]]&gt;=2,100,IF(StudentData[[#This Row],[failures]]=1,60,0))</f>
        <v>0</v>
      </c>
      <c r="AK105">
        <f>IF(StudentData[[#This Row],[absences]]&gt;15,80,IF(StudentData[[#This Row],[absences]]&gt;10,50,0))</f>
        <v>80</v>
      </c>
      <c r="AL105">
        <f>IF(StudentData[[#This Row],[studytime]]=1,70,IF(StudentData[[#This Row],[studytime]]=2,40,0))</f>
        <v>40</v>
      </c>
      <c r="AM105">
        <f>IF(StudentData[[#This Row],[GradeDrop]]=1,50,0)</f>
        <v>0</v>
      </c>
      <c r="AN105">
        <f>0.4*StudentData[[#This Row],[FailureScore]]+0.3*StudentData[[#This Row],[AbsenceScore]]+0.2*StudentData[[#This Row],[StudyRisk]]+0.1*StudentData[[#This Row],[TrendRisk]]</f>
        <v>32</v>
      </c>
      <c r="AO105" t="str">
        <f>IF(StudentData[[#This Row],[RiskIndex]]&lt;=30,"Low",IF(StudentData[[#This Row],[RiskIndex]]&lt;=60,"Medium","High"))</f>
        <v>Medium</v>
      </c>
      <c r="AP105">
        <f>StudentData[[#This Row],[G3]]+('Intervention Simulator'!$C$2*1.5)</f>
        <v>10</v>
      </c>
      <c r="AQ105" t="str">
        <f>IF(StudentData[[#This Row],[ProjectedGrade]]&gt;=10,"Pass","Fail")</f>
        <v>Pass</v>
      </c>
    </row>
    <row r="106" spans="1:4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  <c r="AH106" t="str">
        <f>IF(StudentData[[#This Row],[G3]]&gt;=10,"Pass","Fail")</f>
        <v>Pass</v>
      </c>
      <c r="AI106">
        <f>IF(StudentData[[#This Row],[G3]]&lt;StudentData[[#This Row],[G2]],1,0)</f>
        <v>0</v>
      </c>
      <c r="AJ106">
        <f>IF(StudentData[[#This Row],[failures]]&gt;=2,100,IF(StudentData[[#This Row],[failures]]=1,60,0))</f>
        <v>0</v>
      </c>
      <c r="AK106">
        <f>IF(StudentData[[#This Row],[absences]]&gt;15,80,IF(StudentData[[#This Row],[absences]]&gt;10,50,0))</f>
        <v>0</v>
      </c>
      <c r="AL106">
        <f>IF(StudentData[[#This Row],[studytime]]=1,70,IF(StudentData[[#This Row],[studytime]]=2,40,0))</f>
        <v>40</v>
      </c>
      <c r="AM106">
        <f>IF(StudentData[[#This Row],[GradeDrop]]=1,50,0)</f>
        <v>0</v>
      </c>
      <c r="AN106">
        <f>0.4*StudentData[[#This Row],[FailureScore]]+0.3*StudentData[[#This Row],[AbsenceScore]]+0.2*StudentData[[#This Row],[StudyRisk]]+0.1*StudentData[[#This Row],[TrendRisk]]</f>
        <v>8</v>
      </c>
      <c r="AO106" t="str">
        <f>IF(StudentData[[#This Row],[RiskIndex]]&lt;=30,"Low",IF(StudentData[[#This Row],[RiskIndex]]&lt;=60,"Medium","High"))</f>
        <v>Low</v>
      </c>
      <c r="AP106">
        <f>StudentData[[#This Row],[G3]]+('Intervention Simulator'!$C$2*1.5)</f>
        <v>16</v>
      </c>
      <c r="AQ106" t="str">
        <f>IF(StudentData[[#This Row],[ProjectedGrade]]&gt;=10,"Pass","Fail")</f>
        <v>Pass</v>
      </c>
    </row>
    <row r="107" spans="1:4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  <c r="AH107" t="str">
        <f>IF(StudentData[[#This Row],[G3]]&gt;=10,"Pass","Fail")</f>
        <v>Pass</v>
      </c>
      <c r="AI107">
        <f>IF(StudentData[[#This Row],[G3]]&lt;StudentData[[#This Row],[G2]],1,0)</f>
        <v>0</v>
      </c>
      <c r="AJ107">
        <f>IF(StudentData[[#This Row],[failures]]&gt;=2,100,IF(StudentData[[#This Row],[failures]]=1,60,0))</f>
        <v>0</v>
      </c>
      <c r="AK107">
        <f>IF(StudentData[[#This Row],[absences]]&gt;15,80,IF(StudentData[[#This Row],[absences]]&gt;10,50,0))</f>
        <v>0</v>
      </c>
      <c r="AL107">
        <f>IF(StudentData[[#This Row],[studytime]]=1,70,IF(StudentData[[#This Row],[studytime]]=2,40,0))</f>
        <v>0</v>
      </c>
      <c r="AM107">
        <f>IF(StudentData[[#This Row],[GradeDrop]]=1,50,0)</f>
        <v>0</v>
      </c>
      <c r="AN107">
        <f>0.4*StudentData[[#This Row],[FailureScore]]+0.3*StudentData[[#This Row],[AbsenceScore]]+0.2*StudentData[[#This Row],[StudyRisk]]+0.1*StudentData[[#This Row],[TrendRisk]]</f>
        <v>0</v>
      </c>
      <c r="AO107" t="str">
        <f>IF(StudentData[[#This Row],[RiskIndex]]&lt;=30,"Low",IF(StudentData[[#This Row],[RiskIndex]]&lt;=60,"Medium","High"))</f>
        <v>Low</v>
      </c>
      <c r="AP107">
        <f>StudentData[[#This Row],[G3]]+('Intervention Simulator'!$C$2*1.5)</f>
        <v>10</v>
      </c>
      <c r="AQ107" t="str">
        <f>IF(StudentData[[#This Row],[ProjectedGrade]]&gt;=10,"Pass","Fail")</f>
        <v>Pass</v>
      </c>
    </row>
    <row r="108" spans="1:4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  <c r="AH108" t="str">
        <f>IF(StudentData[[#This Row],[G3]]&gt;=10,"Pass","Fail")</f>
        <v>Pass</v>
      </c>
      <c r="AI108">
        <f>IF(StudentData[[#This Row],[G3]]&lt;StudentData[[#This Row],[G2]],1,0)</f>
        <v>0</v>
      </c>
      <c r="AJ108">
        <f>IF(StudentData[[#This Row],[failures]]&gt;=2,100,IF(StudentData[[#This Row],[failures]]=1,60,0))</f>
        <v>0</v>
      </c>
      <c r="AK108">
        <f>IF(StudentData[[#This Row],[absences]]&gt;15,80,IF(StudentData[[#This Row],[absences]]&gt;10,50,0))</f>
        <v>0</v>
      </c>
      <c r="AL108">
        <f>IF(StudentData[[#This Row],[studytime]]=1,70,IF(StudentData[[#This Row],[studytime]]=2,40,0))</f>
        <v>0</v>
      </c>
      <c r="AM108">
        <f>IF(StudentData[[#This Row],[GradeDrop]]=1,50,0)</f>
        <v>0</v>
      </c>
      <c r="AN108">
        <f>0.4*StudentData[[#This Row],[FailureScore]]+0.3*StudentData[[#This Row],[AbsenceScore]]+0.2*StudentData[[#This Row],[StudyRisk]]+0.1*StudentData[[#This Row],[TrendRisk]]</f>
        <v>0</v>
      </c>
      <c r="AO108" t="str">
        <f>IF(StudentData[[#This Row],[RiskIndex]]&lt;=30,"Low",IF(StudentData[[#This Row],[RiskIndex]]&lt;=60,"Medium","High"))</f>
        <v>Low</v>
      </c>
      <c r="AP108">
        <f>StudentData[[#This Row],[G3]]+('Intervention Simulator'!$C$2*1.5)</f>
        <v>10</v>
      </c>
      <c r="AQ108" t="str">
        <f>IF(StudentData[[#This Row],[ProjectedGrade]]&gt;=10,"Pass","Fail")</f>
        <v>Pass</v>
      </c>
    </row>
    <row r="109" spans="1:4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  <c r="AH109" t="str">
        <f>IF(StudentData[[#This Row],[G3]]&gt;=10,"Pass","Fail")</f>
        <v>Pass</v>
      </c>
      <c r="AI109">
        <f>IF(StudentData[[#This Row],[G3]]&lt;StudentData[[#This Row],[G2]],1,0)</f>
        <v>0</v>
      </c>
      <c r="AJ109">
        <f>IF(StudentData[[#This Row],[failures]]&gt;=2,100,IF(StudentData[[#This Row],[failures]]=1,60,0))</f>
        <v>0</v>
      </c>
      <c r="AK109">
        <f>IF(StudentData[[#This Row],[absences]]&gt;15,80,IF(StudentData[[#This Row],[absences]]&gt;10,50,0))</f>
        <v>0</v>
      </c>
      <c r="AL109">
        <f>IF(StudentData[[#This Row],[studytime]]=1,70,IF(StudentData[[#This Row],[studytime]]=2,40,0))</f>
        <v>0</v>
      </c>
      <c r="AM109">
        <f>IF(StudentData[[#This Row],[GradeDrop]]=1,50,0)</f>
        <v>0</v>
      </c>
      <c r="AN109">
        <f>0.4*StudentData[[#This Row],[FailureScore]]+0.3*StudentData[[#This Row],[AbsenceScore]]+0.2*StudentData[[#This Row],[StudyRisk]]+0.1*StudentData[[#This Row],[TrendRisk]]</f>
        <v>0</v>
      </c>
      <c r="AO109" t="str">
        <f>IF(StudentData[[#This Row],[RiskIndex]]&lt;=30,"Low",IF(StudentData[[#This Row],[RiskIndex]]&lt;=60,"Medium","High"))</f>
        <v>Low</v>
      </c>
      <c r="AP109">
        <f>StudentData[[#This Row],[G3]]+('Intervention Simulator'!$C$2*1.5)</f>
        <v>14</v>
      </c>
      <c r="AQ109" t="str">
        <f>IF(StudentData[[#This Row],[ProjectedGrade]]&gt;=10,"Pass","Fail")</f>
        <v>Pass</v>
      </c>
    </row>
    <row r="110" spans="1:4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  <c r="AH110" t="str">
        <f>IF(StudentData[[#This Row],[G3]]&gt;=10,"Pass","Fail")</f>
        <v>Pass</v>
      </c>
      <c r="AI110">
        <f>IF(StudentData[[#This Row],[G3]]&lt;StudentData[[#This Row],[G2]],1,0)</f>
        <v>0</v>
      </c>
      <c r="AJ110">
        <f>IF(StudentData[[#This Row],[failures]]&gt;=2,100,IF(StudentData[[#This Row],[failures]]=1,60,0))</f>
        <v>0</v>
      </c>
      <c r="AK110">
        <f>IF(StudentData[[#This Row],[absences]]&gt;15,80,IF(StudentData[[#This Row],[absences]]&gt;10,50,0))</f>
        <v>0</v>
      </c>
      <c r="AL110">
        <f>IF(StudentData[[#This Row],[studytime]]=1,70,IF(StudentData[[#This Row],[studytime]]=2,40,0))</f>
        <v>0</v>
      </c>
      <c r="AM110">
        <f>IF(StudentData[[#This Row],[GradeDrop]]=1,50,0)</f>
        <v>0</v>
      </c>
      <c r="AN110">
        <f>0.4*StudentData[[#This Row],[FailureScore]]+0.3*StudentData[[#This Row],[AbsenceScore]]+0.2*StudentData[[#This Row],[StudyRisk]]+0.1*StudentData[[#This Row],[TrendRisk]]</f>
        <v>0</v>
      </c>
      <c r="AO110" t="str">
        <f>IF(StudentData[[#This Row],[RiskIndex]]&lt;=30,"Low",IF(StudentData[[#This Row],[RiskIndex]]&lt;=60,"Medium","High"))</f>
        <v>Low</v>
      </c>
      <c r="AP110">
        <f>StudentData[[#This Row],[G3]]+('Intervention Simulator'!$C$2*1.5)</f>
        <v>11</v>
      </c>
      <c r="AQ110" t="str">
        <f>IF(StudentData[[#This Row],[ProjectedGrade]]&gt;=10,"Pass","Fail")</f>
        <v>Pass</v>
      </c>
    </row>
    <row r="111" spans="1:4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  <c r="AH111" t="str">
        <f>IF(StudentData[[#This Row],[G3]]&gt;=10,"Pass","Fail")</f>
        <v>Pass</v>
      </c>
      <c r="AI111">
        <f>IF(StudentData[[#This Row],[G3]]&lt;StudentData[[#This Row],[G2]],1,0)</f>
        <v>1</v>
      </c>
      <c r="AJ111">
        <f>IF(StudentData[[#This Row],[failures]]&gt;=2,100,IF(StudentData[[#This Row],[failures]]=1,60,0))</f>
        <v>0</v>
      </c>
      <c r="AK111">
        <f>IF(StudentData[[#This Row],[absences]]&gt;15,80,IF(StudentData[[#This Row],[absences]]&gt;10,50,0))</f>
        <v>0</v>
      </c>
      <c r="AL111">
        <f>IF(StudentData[[#This Row],[studytime]]=1,70,IF(StudentData[[#This Row],[studytime]]=2,40,0))</f>
        <v>0</v>
      </c>
      <c r="AM111">
        <f>IF(StudentData[[#This Row],[GradeDrop]]=1,50,0)</f>
        <v>50</v>
      </c>
      <c r="AN111">
        <f>0.4*StudentData[[#This Row],[FailureScore]]+0.3*StudentData[[#This Row],[AbsenceScore]]+0.2*StudentData[[#This Row],[StudyRisk]]+0.1*StudentData[[#This Row],[TrendRisk]]</f>
        <v>5</v>
      </c>
      <c r="AO111" t="str">
        <f>IF(StudentData[[#This Row],[RiskIndex]]&lt;=30,"Low",IF(StudentData[[#This Row],[RiskIndex]]&lt;=60,"Medium","High"))</f>
        <v>Low</v>
      </c>
      <c r="AP111">
        <f>StudentData[[#This Row],[G3]]+('Intervention Simulator'!$C$2*1.5)</f>
        <v>14</v>
      </c>
      <c r="AQ111" t="str">
        <f>IF(StudentData[[#This Row],[ProjectedGrade]]&gt;=10,"Pass","Fail")</f>
        <v>Pass</v>
      </c>
    </row>
    <row r="112" spans="1:4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  <c r="AH112" t="str">
        <f>IF(StudentData[[#This Row],[G3]]&gt;=10,"Pass","Fail")</f>
        <v>Pass</v>
      </c>
      <c r="AI112">
        <f>IF(StudentData[[#This Row],[G3]]&lt;StudentData[[#This Row],[G2]],1,0)</f>
        <v>0</v>
      </c>
      <c r="AJ112">
        <f>IF(StudentData[[#This Row],[failures]]&gt;=2,100,IF(StudentData[[#This Row],[failures]]=1,60,0))</f>
        <v>0</v>
      </c>
      <c r="AK112">
        <f>IF(StudentData[[#This Row],[absences]]&gt;15,80,IF(StudentData[[#This Row],[absences]]&gt;10,50,0))</f>
        <v>0</v>
      </c>
      <c r="AL112">
        <f>IF(StudentData[[#This Row],[studytime]]=1,70,IF(StudentData[[#This Row],[studytime]]=2,40,0))</f>
        <v>70</v>
      </c>
      <c r="AM112">
        <f>IF(StudentData[[#This Row],[GradeDrop]]=1,50,0)</f>
        <v>0</v>
      </c>
      <c r="AN112">
        <f>0.4*StudentData[[#This Row],[FailureScore]]+0.3*StudentData[[#This Row],[AbsenceScore]]+0.2*StudentData[[#This Row],[StudyRisk]]+0.1*StudentData[[#This Row],[TrendRisk]]</f>
        <v>14</v>
      </c>
      <c r="AO112" t="str">
        <f>IF(StudentData[[#This Row],[RiskIndex]]&lt;=30,"Low",IF(StudentData[[#This Row],[RiskIndex]]&lt;=60,"Medium","High"))</f>
        <v>Low</v>
      </c>
      <c r="AP112">
        <f>StudentData[[#This Row],[G3]]+('Intervention Simulator'!$C$2*1.5)</f>
        <v>14</v>
      </c>
      <c r="AQ112" t="str">
        <f>IF(StudentData[[#This Row],[ProjectedGrade]]&gt;=10,"Pass","Fail")</f>
        <v>Pass</v>
      </c>
    </row>
    <row r="113" spans="1:4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  <c r="AH113" t="str">
        <f>IF(StudentData[[#This Row],[G3]]&gt;=10,"Pass","Fail")</f>
        <v>Pass</v>
      </c>
      <c r="AI113">
        <f>IF(StudentData[[#This Row],[G3]]&lt;StudentData[[#This Row],[G2]],1,0)</f>
        <v>0</v>
      </c>
      <c r="AJ113">
        <f>IF(StudentData[[#This Row],[failures]]&gt;=2,100,IF(StudentData[[#This Row],[failures]]=1,60,0))</f>
        <v>0</v>
      </c>
      <c r="AK113">
        <f>IF(StudentData[[#This Row],[absences]]&gt;15,80,IF(StudentData[[#This Row],[absences]]&gt;10,50,0))</f>
        <v>0</v>
      </c>
      <c r="AL113">
        <f>IF(StudentData[[#This Row],[studytime]]=1,70,IF(StudentData[[#This Row],[studytime]]=2,40,0))</f>
        <v>0</v>
      </c>
      <c r="AM113">
        <f>IF(StudentData[[#This Row],[GradeDrop]]=1,50,0)</f>
        <v>0</v>
      </c>
      <c r="AN113">
        <f>0.4*StudentData[[#This Row],[FailureScore]]+0.3*StudentData[[#This Row],[AbsenceScore]]+0.2*StudentData[[#This Row],[StudyRisk]]+0.1*StudentData[[#This Row],[TrendRisk]]</f>
        <v>0</v>
      </c>
      <c r="AO113" t="str">
        <f>IF(StudentData[[#This Row],[RiskIndex]]&lt;=30,"Low",IF(StudentData[[#This Row],[RiskIndex]]&lt;=60,"Medium","High"))</f>
        <v>Low</v>
      </c>
      <c r="AP113">
        <f>StudentData[[#This Row],[G3]]+('Intervention Simulator'!$C$2*1.5)</f>
        <v>11</v>
      </c>
      <c r="AQ113" t="str">
        <f>IF(StudentData[[#This Row],[ProjectedGrade]]&gt;=10,"Pass","Fail")</f>
        <v>Pass</v>
      </c>
    </row>
    <row r="114" spans="1:4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  <c r="AH114" t="str">
        <f>IF(StudentData[[#This Row],[G3]]&gt;=10,"Pass","Fail")</f>
        <v>Pass</v>
      </c>
      <c r="AI114">
        <f>IF(StudentData[[#This Row],[G3]]&lt;StudentData[[#This Row],[G2]],1,0)</f>
        <v>0</v>
      </c>
      <c r="AJ114">
        <f>IF(StudentData[[#This Row],[failures]]&gt;=2,100,IF(StudentData[[#This Row],[failures]]=1,60,0))</f>
        <v>60</v>
      </c>
      <c r="AK114">
        <f>IF(StudentData[[#This Row],[absences]]&gt;15,80,IF(StudentData[[#This Row],[absences]]&gt;10,50,0))</f>
        <v>50</v>
      </c>
      <c r="AL114">
        <f>IF(StudentData[[#This Row],[studytime]]=1,70,IF(StudentData[[#This Row],[studytime]]=2,40,0))</f>
        <v>40</v>
      </c>
      <c r="AM114">
        <f>IF(StudentData[[#This Row],[GradeDrop]]=1,50,0)</f>
        <v>0</v>
      </c>
      <c r="AN114">
        <f>0.4*StudentData[[#This Row],[FailureScore]]+0.3*StudentData[[#This Row],[AbsenceScore]]+0.2*StudentData[[#This Row],[StudyRisk]]+0.1*StudentData[[#This Row],[TrendRisk]]</f>
        <v>47</v>
      </c>
      <c r="AO114" t="str">
        <f>IF(StudentData[[#This Row],[RiskIndex]]&lt;=30,"Low",IF(StudentData[[#This Row],[RiskIndex]]&lt;=60,"Medium","High"))</f>
        <v>Medium</v>
      </c>
      <c r="AP114">
        <f>StudentData[[#This Row],[G3]]+('Intervention Simulator'!$C$2*1.5)</f>
        <v>10</v>
      </c>
      <c r="AQ114" t="str">
        <f>IF(StudentData[[#This Row],[ProjectedGrade]]&gt;=10,"Pass","Fail")</f>
        <v>Pass</v>
      </c>
    </row>
    <row r="115" spans="1:4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  <c r="AH115" t="str">
        <f>IF(StudentData[[#This Row],[G3]]&gt;=10,"Pass","Fail")</f>
        <v>Pass</v>
      </c>
      <c r="AI115">
        <f>IF(StudentData[[#This Row],[G3]]&lt;StudentData[[#This Row],[G2]],1,0)</f>
        <v>0</v>
      </c>
      <c r="AJ115">
        <f>IF(StudentData[[#This Row],[failures]]&gt;=2,100,IF(StudentData[[#This Row],[failures]]=1,60,0))</f>
        <v>0</v>
      </c>
      <c r="AK115">
        <f>IF(StudentData[[#This Row],[absences]]&gt;15,80,IF(StudentData[[#This Row],[absences]]&gt;10,50,0))</f>
        <v>0</v>
      </c>
      <c r="AL115">
        <f>IF(StudentData[[#This Row],[studytime]]=1,70,IF(StudentData[[#This Row],[studytime]]=2,40,0))</f>
        <v>70</v>
      </c>
      <c r="AM115">
        <f>IF(StudentData[[#This Row],[GradeDrop]]=1,50,0)</f>
        <v>0</v>
      </c>
      <c r="AN115">
        <f>0.4*StudentData[[#This Row],[FailureScore]]+0.3*StudentData[[#This Row],[AbsenceScore]]+0.2*StudentData[[#This Row],[StudyRisk]]+0.1*StudentData[[#This Row],[TrendRisk]]</f>
        <v>14</v>
      </c>
      <c r="AO115" t="str">
        <f>IF(StudentData[[#This Row],[RiskIndex]]&lt;=30,"Low",IF(StudentData[[#This Row],[RiskIndex]]&lt;=60,"Medium","High"))</f>
        <v>Low</v>
      </c>
      <c r="AP115">
        <f>StudentData[[#This Row],[G3]]+('Intervention Simulator'!$C$2*1.5)</f>
        <v>18</v>
      </c>
      <c r="AQ115" t="str">
        <f>IF(StudentData[[#This Row],[ProjectedGrade]]&gt;=10,"Pass","Fail")</f>
        <v>Pass</v>
      </c>
    </row>
    <row r="116" spans="1:4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  <c r="AH116" t="str">
        <f>IF(StudentData[[#This Row],[G3]]&gt;=10,"Pass","Fail")</f>
        <v>Pass</v>
      </c>
      <c r="AI116">
        <f>IF(StudentData[[#This Row],[G3]]&lt;StudentData[[#This Row],[G2]],1,0)</f>
        <v>0</v>
      </c>
      <c r="AJ116">
        <f>IF(StudentData[[#This Row],[failures]]&gt;=2,100,IF(StudentData[[#This Row],[failures]]=1,60,0))</f>
        <v>0</v>
      </c>
      <c r="AK116">
        <f>IF(StudentData[[#This Row],[absences]]&gt;15,80,IF(StudentData[[#This Row],[absences]]&gt;10,50,0))</f>
        <v>0</v>
      </c>
      <c r="AL116">
        <f>IF(StudentData[[#This Row],[studytime]]=1,70,IF(StudentData[[#This Row],[studytime]]=2,40,0))</f>
        <v>40</v>
      </c>
      <c r="AM116">
        <f>IF(StudentData[[#This Row],[GradeDrop]]=1,50,0)</f>
        <v>0</v>
      </c>
      <c r="AN116">
        <f>0.4*StudentData[[#This Row],[FailureScore]]+0.3*StudentData[[#This Row],[AbsenceScore]]+0.2*StudentData[[#This Row],[StudyRisk]]+0.1*StudentData[[#This Row],[TrendRisk]]</f>
        <v>8</v>
      </c>
      <c r="AO116" t="str">
        <f>IF(StudentData[[#This Row],[RiskIndex]]&lt;=30,"Low",IF(StudentData[[#This Row],[RiskIndex]]&lt;=60,"Medium","High"))</f>
        <v>Low</v>
      </c>
      <c r="AP116">
        <f>StudentData[[#This Row],[G3]]+('Intervention Simulator'!$C$2*1.5)</f>
        <v>10</v>
      </c>
      <c r="AQ116" t="str">
        <f>IF(StudentData[[#This Row],[ProjectedGrade]]&gt;=10,"Pass","Fail")</f>
        <v>Pass</v>
      </c>
    </row>
    <row r="117" spans="1:4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  <c r="AH117" t="str">
        <f>IF(StudentData[[#This Row],[G3]]&gt;=10,"Pass","Fail")</f>
        <v>Pass</v>
      </c>
      <c r="AI117">
        <f>IF(StudentData[[#This Row],[G3]]&lt;StudentData[[#This Row],[G2]],1,0)</f>
        <v>0</v>
      </c>
      <c r="AJ117">
        <f>IF(StudentData[[#This Row],[failures]]&gt;=2,100,IF(StudentData[[#This Row],[failures]]=1,60,0))</f>
        <v>0</v>
      </c>
      <c r="AK117">
        <f>IF(StudentData[[#This Row],[absences]]&gt;15,80,IF(StudentData[[#This Row],[absences]]&gt;10,50,0))</f>
        <v>0</v>
      </c>
      <c r="AL117">
        <f>IF(StudentData[[#This Row],[studytime]]=1,70,IF(StudentData[[#This Row],[studytime]]=2,40,0))</f>
        <v>40</v>
      </c>
      <c r="AM117">
        <f>IF(StudentData[[#This Row],[GradeDrop]]=1,50,0)</f>
        <v>0</v>
      </c>
      <c r="AN117">
        <f>0.4*StudentData[[#This Row],[FailureScore]]+0.3*StudentData[[#This Row],[AbsenceScore]]+0.2*StudentData[[#This Row],[StudyRisk]]+0.1*StudentData[[#This Row],[TrendRisk]]</f>
        <v>8</v>
      </c>
      <c r="AO117" t="str">
        <f>IF(StudentData[[#This Row],[RiskIndex]]&lt;=30,"Low",IF(StudentData[[#This Row],[RiskIndex]]&lt;=60,"Medium","High"))</f>
        <v>Low</v>
      </c>
      <c r="AP117">
        <f>StudentData[[#This Row],[G3]]+('Intervention Simulator'!$C$2*1.5)</f>
        <v>14</v>
      </c>
      <c r="AQ117" t="str">
        <f>IF(StudentData[[#This Row],[ProjectedGrade]]&gt;=10,"Pass","Fail")</f>
        <v>Pass</v>
      </c>
    </row>
    <row r="118" spans="1:4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  <c r="AH118" t="str">
        <f>IF(StudentData[[#This Row],[G3]]&gt;=10,"Pass","Fail")</f>
        <v>Pass</v>
      </c>
      <c r="AI118">
        <f>IF(StudentData[[#This Row],[G3]]&lt;StudentData[[#This Row],[G2]],1,0)</f>
        <v>0</v>
      </c>
      <c r="AJ118">
        <f>IF(StudentData[[#This Row],[failures]]&gt;=2,100,IF(StudentData[[#This Row],[failures]]=1,60,0))</f>
        <v>0</v>
      </c>
      <c r="AK118">
        <f>IF(StudentData[[#This Row],[absences]]&gt;15,80,IF(StudentData[[#This Row],[absences]]&gt;10,50,0))</f>
        <v>0</v>
      </c>
      <c r="AL118">
        <f>IF(StudentData[[#This Row],[studytime]]=1,70,IF(StudentData[[#This Row],[studytime]]=2,40,0))</f>
        <v>40</v>
      </c>
      <c r="AM118">
        <f>IF(StudentData[[#This Row],[GradeDrop]]=1,50,0)</f>
        <v>0</v>
      </c>
      <c r="AN118">
        <f>0.4*StudentData[[#This Row],[FailureScore]]+0.3*StudentData[[#This Row],[AbsenceScore]]+0.2*StudentData[[#This Row],[StudyRisk]]+0.1*StudentData[[#This Row],[TrendRisk]]</f>
        <v>8</v>
      </c>
      <c r="AO118" t="str">
        <f>IF(StudentData[[#This Row],[RiskIndex]]&lt;=30,"Low",IF(StudentData[[#This Row],[RiskIndex]]&lt;=60,"Medium","High"))</f>
        <v>Low</v>
      </c>
      <c r="AP118">
        <f>StudentData[[#This Row],[G3]]+('Intervention Simulator'!$C$2*1.5)</f>
        <v>16</v>
      </c>
      <c r="AQ118" t="str">
        <f>IF(StudentData[[#This Row],[ProjectedGrade]]&gt;=10,"Pass","Fail")</f>
        <v>Pass</v>
      </c>
    </row>
    <row r="119" spans="1:4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  <c r="AH119" t="str">
        <f>IF(StudentData[[#This Row],[G3]]&gt;=10,"Pass","Fail")</f>
        <v>Pass</v>
      </c>
      <c r="AI119">
        <f>IF(StudentData[[#This Row],[G3]]&lt;StudentData[[#This Row],[G2]],1,0)</f>
        <v>0</v>
      </c>
      <c r="AJ119">
        <f>IF(StudentData[[#This Row],[failures]]&gt;=2,100,IF(StudentData[[#This Row],[failures]]=1,60,0))</f>
        <v>0</v>
      </c>
      <c r="AK119">
        <f>IF(StudentData[[#This Row],[absences]]&gt;15,80,IF(StudentData[[#This Row],[absences]]&gt;10,50,0))</f>
        <v>0</v>
      </c>
      <c r="AL119">
        <f>IF(StudentData[[#This Row],[studytime]]=1,70,IF(StudentData[[#This Row],[studytime]]=2,40,0))</f>
        <v>70</v>
      </c>
      <c r="AM119">
        <f>IF(StudentData[[#This Row],[GradeDrop]]=1,50,0)</f>
        <v>0</v>
      </c>
      <c r="AN119">
        <f>0.4*StudentData[[#This Row],[FailureScore]]+0.3*StudentData[[#This Row],[AbsenceScore]]+0.2*StudentData[[#This Row],[StudyRisk]]+0.1*StudentData[[#This Row],[TrendRisk]]</f>
        <v>14</v>
      </c>
      <c r="AO119" t="str">
        <f>IF(StudentData[[#This Row],[RiskIndex]]&lt;=30,"Low",IF(StudentData[[#This Row],[RiskIndex]]&lt;=60,"Medium","High"))</f>
        <v>Low</v>
      </c>
      <c r="AP119">
        <f>StudentData[[#This Row],[G3]]+('Intervention Simulator'!$C$2*1.5)</f>
        <v>15</v>
      </c>
      <c r="AQ119" t="str">
        <f>IF(StudentData[[#This Row],[ProjectedGrade]]&gt;=10,"Pass","Fail")</f>
        <v>Pass</v>
      </c>
    </row>
    <row r="120" spans="1:4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  <c r="AH120" t="str">
        <f>IF(StudentData[[#This Row],[G3]]&gt;=10,"Pass","Fail")</f>
        <v>Pass</v>
      </c>
      <c r="AI120">
        <f>IF(StudentData[[#This Row],[G3]]&lt;StudentData[[#This Row],[G2]],1,0)</f>
        <v>0</v>
      </c>
      <c r="AJ120">
        <f>IF(StudentData[[#This Row],[failures]]&gt;=2,100,IF(StudentData[[#This Row],[failures]]=1,60,0))</f>
        <v>60</v>
      </c>
      <c r="AK120">
        <f>IF(StudentData[[#This Row],[absences]]&gt;15,80,IF(StudentData[[#This Row],[absences]]&gt;10,50,0))</f>
        <v>50</v>
      </c>
      <c r="AL120">
        <f>IF(StudentData[[#This Row],[studytime]]=1,70,IF(StudentData[[#This Row],[studytime]]=2,40,0))</f>
        <v>40</v>
      </c>
      <c r="AM120">
        <f>IF(StudentData[[#This Row],[GradeDrop]]=1,50,0)</f>
        <v>0</v>
      </c>
      <c r="AN120">
        <f>0.4*StudentData[[#This Row],[FailureScore]]+0.3*StudentData[[#This Row],[AbsenceScore]]+0.2*StudentData[[#This Row],[StudyRisk]]+0.1*StudentData[[#This Row],[TrendRisk]]</f>
        <v>47</v>
      </c>
      <c r="AO120" t="str">
        <f>IF(StudentData[[#This Row],[RiskIndex]]&lt;=30,"Low",IF(StudentData[[#This Row],[RiskIndex]]&lt;=60,"Medium","High"))</f>
        <v>Medium</v>
      </c>
      <c r="AP120">
        <f>StudentData[[#This Row],[G3]]+('Intervention Simulator'!$C$2*1.5)</f>
        <v>11</v>
      </c>
      <c r="AQ120" t="str">
        <f>IF(StudentData[[#This Row],[ProjectedGrade]]&gt;=10,"Pass","Fail")</f>
        <v>Pass</v>
      </c>
    </row>
    <row r="121" spans="1:4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  <c r="AH121" t="str">
        <f>IF(StudentData[[#This Row],[G3]]&gt;=10,"Pass","Fail")</f>
        <v>Pass</v>
      </c>
      <c r="AI121">
        <f>IF(StudentData[[#This Row],[G3]]&lt;StudentData[[#This Row],[G2]],1,0)</f>
        <v>0</v>
      </c>
      <c r="AJ121">
        <f>IF(StudentData[[#This Row],[failures]]&gt;=2,100,IF(StudentData[[#This Row],[failures]]=1,60,0))</f>
        <v>0</v>
      </c>
      <c r="AK121">
        <f>IF(StudentData[[#This Row],[absences]]&gt;15,80,IF(StudentData[[#This Row],[absences]]&gt;10,50,0))</f>
        <v>0</v>
      </c>
      <c r="AL121">
        <f>IF(StudentData[[#This Row],[studytime]]=1,70,IF(StudentData[[#This Row],[studytime]]=2,40,0))</f>
        <v>70</v>
      </c>
      <c r="AM121">
        <f>IF(StudentData[[#This Row],[GradeDrop]]=1,50,0)</f>
        <v>0</v>
      </c>
      <c r="AN121">
        <f>0.4*StudentData[[#This Row],[FailureScore]]+0.3*StudentData[[#This Row],[AbsenceScore]]+0.2*StudentData[[#This Row],[StudyRisk]]+0.1*StudentData[[#This Row],[TrendRisk]]</f>
        <v>14</v>
      </c>
      <c r="AO121" t="str">
        <f>IF(StudentData[[#This Row],[RiskIndex]]&lt;=30,"Low",IF(StudentData[[#This Row],[RiskIndex]]&lt;=60,"Medium","High"))</f>
        <v>Low</v>
      </c>
      <c r="AP121">
        <f>StudentData[[#This Row],[G3]]+('Intervention Simulator'!$C$2*1.5)</f>
        <v>14</v>
      </c>
      <c r="AQ121" t="str">
        <f>IF(StudentData[[#This Row],[ProjectedGrade]]&gt;=10,"Pass","Fail")</f>
        <v>Pass</v>
      </c>
    </row>
    <row r="122" spans="1:4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  <c r="AH122" t="str">
        <f>IF(StudentData[[#This Row],[G3]]&gt;=10,"Pass","Fail")</f>
        <v>Pass</v>
      </c>
      <c r="AI122">
        <f>IF(StudentData[[#This Row],[G3]]&lt;StudentData[[#This Row],[G2]],1,0)</f>
        <v>0</v>
      </c>
      <c r="AJ122">
        <f>IF(StudentData[[#This Row],[failures]]&gt;=2,100,IF(StudentData[[#This Row],[failures]]=1,60,0))</f>
        <v>0</v>
      </c>
      <c r="AK122">
        <f>IF(StudentData[[#This Row],[absences]]&gt;15,80,IF(StudentData[[#This Row],[absences]]&gt;10,50,0))</f>
        <v>0</v>
      </c>
      <c r="AL122">
        <f>IF(StudentData[[#This Row],[studytime]]=1,70,IF(StudentData[[#This Row],[studytime]]=2,40,0))</f>
        <v>40</v>
      </c>
      <c r="AM122">
        <f>IF(StudentData[[#This Row],[GradeDrop]]=1,50,0)</f>
        <v>0</v>
      </c>
      <c r="AN122">
        <f>0.4*StudentData[[#This Row],[FailureScore]]+0.3*StudentData[[#This Row],[AbsenceScore]]+0.2*StudentData[[#This Row],[StudyRisk]]+0.1*StudentData[[#This Row],[TrendRisk]]</f>
        <v>8</v>
      </c>
      <c r="AO122" t="str">
        <f>IF(StudentData[[#This Row],[RiskIndex]]&lt;=30,"Low",IF(StudentData[[#This Row],[RiskIndex]]&lt;=60,"Medium","High"))</f>
        <v>Low</v>
      </c>
      <c r="AP122">
        <f>StudentData[[#This Row],[G3]]+('Intervention Simulator'!$C$2*1.5)</f>
        <v>14</v>
      </c>
      <c r="AQ122" t="str">
        <f>IF(StudentData[[#This Row],[ProjectedGrade]]&gt;=10,"Pass","Fail")</f>
        <v>Pass</v>
      </c>
    </row>
    <row r="123" spans="1:4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  <c r="AH123" t="str">
        <f>IF(StudentData[[#This Row],[G3]]&gt;=10,"Pass","Fail")</f>
        <v>Pass</v>
      </c>
      <c r="AI123">
        <f>IF(StudentData[[#This Row],[G3]]&lt;StudentData[[#This Row],[G2]],1,0)</f>
        <v>0</v>
      </c>
      <c r="AJ123">
        <f>IF(StudentData[[#This Row],[failures]]&gt;=2,100,IF(StudentData[[#This Row],[failures]]=1,60,0))</f>
        <v>0</v>
      </c>
      <c r="AK123">
        <f>IF(StudentData[[#This Row],[absences]]&gt;15,80,IF(StudentData[[#This Row],[absences]]&gt;10,50,0))</f>
        <v>0</v>
      </c>
      <c r="AL123">
        <f>IF(StudentData[[#This Row],[studytime]]=1,70,IF(StudentData[[#This Row],[studytime]]=2,40,0))</f>
        <v>0</v>
      </c>
      <c r="AM123">
        <f>IF(StudentData[[#This Row],[GradeDrop]]=1,50,0)</f>
        <v>0</v>
      </c>
      <c r="AN123">
        <f>0.4*StudentData[[#This Row],[FailureScore]]+0.3*StudentData[[#This Row],[AbsenceScore]]+0.2*StudentData[[#This Row],[StudyRisk]]+0.1*StudentData[[#This Row],[TrendRisk]]</f>
        <v>0</v>
      </c>
      <c r="AO123" t="str">
        <f>IF(StudentData[[#This Row],[RiskIndex]]&lt;=30,"Low",IF(StudentData[[#This Row],[RiskIndex]]&lt;=60,"Medium","High"))</f>
        <v>Low</v>
      </c>
      <c r="AP123">
        <f>StudentData[[#This Row],[G3]]+('Intervention Simulator'!$C$2*1.5)</f>
        <v>13</v>
      </c>
      <c r="AQ123" t="str">
        <f>IF(StudentData[[#This Row],[ProjectedGrade]]&gt;=10,"Pass","Fail")</f>
        <v>Pass</v>
      </c>
    </row>
    <row r="124" spans="1:4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  <c r="AH124" t="str">
        <f>IF(StudentData[[#This Row],[G3]]&gt;=10,"Pass","Fail")</f>
        <v>Pass</v>
      </c>
      <c r="AI124">
        <f>IF(StudentData[[#This Row],[G3]]&lt;StudentData[[#This Row],[G2]],1,0)</f>
        <v>0</v>
      </c>
      <c r="AJ124">
        <f>IF(StudentData[[#This Row],[failures]]&gt;=2,100,IF(StudentData[[#This Row],[failures]]=1,60,0))</f>
        <v>0</v>
      </c>
      <c r="AK124">
        <f>IF(StudentData[[#This Row],[absences]]&gt;15,80,IF(StudentData[[#This Row],[absences]]&gt;10,50,0))</f>
        <v>0</v>
      </c>
      <c r="AL124">
        <f>IF(StudentData[[#This Row],[studytime]]=1,70,IF(StudentData[[#This Row],[studytime]]=2,40,0))</f>
        <v>40</v>
      </c>
      <c r="AM124">
        <f>IF(StudentData[[#This Row],[GradeDrop]]=1,50,0)</f>
        <v>0</v>
      </c>
      <c r="AN124">
        <f>0.4*StudentData[[#This Row],[FailureScore]]+0.3*StudentData[[#This Row],[AbsenceScore]]+0.2*StudentData[[#This Row],[StudyRisk]]+0.1*StudentData[[#This Row],[TrendRisk]]</f>
        <v>8</v>
      </c>
      <c r="AO124" t="str">
        <f>IF(StudentData[[#This Row],[RiskIndex]]&lt;=30,"Low",IF(StudentData[[#This Row],[RiskIndex]]&lt;=60,"Medium","High"))</f>
        <v>Low</v>
      </c>
      <c r="AP124">
        <f>StudentData[[#This Row],[G3]]+('Intervention Simulator'!$C$2*1.5)</f>
        <v>13</v>
      </c>
      <c r="AQ124" t="str">
        <f>IF(StudentData[[#This Row],[ProjectedGrade]]&gt;=10,"Pass","Fail")</f>
        <v>Pass</v>
      </c>
    </row>
    <row r="125" spans="1:4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  <c r="AH125" t="str">
        <f>IF(StudentData[[#This Row],[G3]]&gt;=10,"Pass","Fail")</f>
        <v>Pass</v>
      </c>
      <c r="AI125">
        <f>IF(StudentData[[#This Row],[G3]]&lt;StudentData[[#This Row],[G2]],1,0)</f>
        <v>0</v>
      </c>
      <c r="AJ125">
        <f>IF(StudentData[[#This Row],[failures]]&gt;=2,100,IF(StudentData[[#This Row],[failures]]=1,60,0))</f>
        <v>0</v>
      </c>
      <c r="AK125">
        <f>IF(StudentData[[#This Row],[absences]]&gt;15,80,IF(StudentData[[#This Row],[absences]]&gt;10,50,0))</f>
        <v>0</v>
      </c>
      <c r="AL125">
        <f>IF(StudentData[[#This Row],[studytime]]=1,70,IF(StudentData[[#This Row],[studytime]]=2,40,0))</f>
        <v>70</v>
      </c>
      <c r="AM125">
        <f>IF(StudentData[[#This Row],[GradeDrop]]=1,50,0)</f>
        <v>0</v>
      </c>
      <c r="AN125">
        <f>0.4*StudentData[[#This Row],[FailureScore]]+0.3*StudentData[[#This Row],[AbsenceScore]]+0.2*StudentData[[#This Row],[StudyRisk]]+0.1*StudentData[[#This Row],[TrendRisk]]</f>
        <v>14</v>
      </c>
      <c r="AO125" t="str">
        <f>IF(StudentData[[#This Row],[RiskIndex]]&lt;=30,"Low",IF(StudentData[[#This Row],[RiskIndex]]&lt;=60,"Medium","High"))</f>
        <v>Low</v>
      </c>
      <c r="AP125">
        <f>StudentData[[#This Row],[G3]]+('Intervention Simulator'!$C$2*1.5)</f>
        <v>13</v>
      </c>
      <c r="AQ125" t="str">
        <f>IF(StudentData[[#This Row],[ProjectedGrade]]&gt;=10,"Pass","Fail")</f>
        <v>Pass</v>
      </c>
    </row>
    <row r="126" spans="1:4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  <c r="AH126" t="str">
        <f>IF(StudentData[[#This Row],[G3]]&gt;=10,"Pass","Fail")</f>
        <v>Pass</v>
      </c>
      <c r="AI126">
        <f>IF(StudentData[[#This Row],[G3]]&lt;StudentData[[#This Row],[G2]],1,0)</f>
        <v>0</v>
      </c>
      <c r="AJ126">
        <f>IF(StudentData[[#This Row],[failures]]&gt;=2,100,IF(StudentData[[#This Row],[failures]]=1,60,0))</f>
        <v>0</v>
      </c>
      <c r="AK126">
        <f>IF(StudentData[[#This Row],[absences]]&gt;15,80,IF(StudentData[[#This Row],[absences]]&gt;10,50,0))</f>
        <v>0</v>
      </c>
      <c r="AL126">
        <f>IF(StudentData[[#This Row],[studytime]]=1,70,IF(StudentData[[#This Row],[studytime]]=2,40,0))</f>
        <v>40</v>
      </c>
      <c r="AM126">
        <f>IF(StudentData[[#This Row],[GradeDrop]]=1,50,0)</f>
        <v>0</v>
      </c>
      <c r="AN126">
        <f>0.4*StudentData[[#This Row],[FailureScore]]+0.3*StudentData[[#This Row],[AbsenceScore]]+0.2*StudentData[[#This Row],[StudyRisk]]+0.1*StudentData[[#This Row],[TrendRisk]]</f>
        <v>8</v>
      </c>
      <c r="AO126" t="str">
        <f>IF(StudentData[[#This Row],[RiskIndex]]&lt;=30,"Low",IF(StudentData[[#This Row],[RiskIndex]]&lt;=60,"Medium","High"))</f>
        <v>Low</v>
      </c>
      <c r="AP126">
        <f>StudentData[[#This Row],[G3]]+('Intervention Simulator'!$C$2*1.5)</f>
        <v>11</v>
      </c>
      <c r="AQ126" t="str">
        <f>IF(StudentData[[#This Row],[ProjectedGrade]]&gt;=10,"Pass","Fail")</f>
        <v>Pass</v>
      </c>
    </row>
    <row r="127" spans="1:4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  <c r="AH127" t="str">
        <f>IF(StudentData[[#This Row],[G3]]&gt;=10,"Pass","Fail")</f>
        <v>Fail</v>
      </c>
      <c r="AI127">
        <f>IF(StudentData[[#This Row],[G3]]&lt;StudentData[[#This Row],[G2]],1,0)</f>
        <v>0</v>
      </c>
      <c r="AJ127">
        <f>IF(StudentData[[#This Row],[failures]]&gt;=2,100,IF(StudentData[[#This Row],[failures]]=1,60,0))</f>
        <v>0</v>
      </c>
      <c r="AK127">
        <f>IF(StudentData[[#This Row],[absences]]&gt;15,80,IF(StudentData[[#This Row],[absences]]&gt;10,50,0))</f>
        <v>0</v>
      </c>
      <c r="AL127">
        <f>IF(StudentData[[#This Row],[studytime]]=1,70,IF(StudentData[[#This Row],[studytime]]=2,40,0))</f>
        <v>70</v>
      </c>
      <c r="AM127">
        <f>IF(StudentData[[#This Row],[GradeDrop]]=1,50,0)</f>
        <v>0</v>
      </c>
      <c r="AN127">
        <f>0.4*StudentData[[#This Row],[FailureScore]]+0.3*StudentData[[#This Row],[AbsenceScore]]+0.2*StudentData[[#This Row],[StudyRisk]]+0.1*StudentData[[#This Row],[TrendRisk]]</f>
        <v>14</v>
      </c>
      <c r="AO127" t="str">
        <f>IF(StudentData[[#This Row],[RiskIndex]]&lt;=30,"Low",IF(StudentData[[#This Row],[RiskIndex]]&lt;=60,"Medium","High"))</f>
        <v>Low</v>
      </c>
      <c r="AP127">
        <f>StudentData[[#This Row],[G3]]+('Intervention Simulator'!$C$2*1.5)</f>
        <v>9</v>
      </c>
      <c r="AQ127" t="str">
        <f>IF(StudentData[[#This Row],[ProjectedGrade]]&gt;=10,"Pass","Fail")</f>
        <v>Fail</v>
      </c>
    </row>
    <row r="128" spans="1:4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  <c r="AH128" t="str">
        <f>IF(StudentData[[#This Row],[G3]]&gt;=10,"Pass","Fail")</f>
        <v>Pass</v>
      </c>
      <c r="AI128">
        <f>IF(StudentData[[#This Row],[G3]]&lt;StudentData[[#This Row],[G2]],1,0)</f>
        <v>0</v>
      </c>
      <c r="AJ128">
        <f>IF(StudentData[[#This Row],[failures]]&gt;=2,100,IF(StudentData[[#This Row],[failures]]=1,60,0))</f>
        <v>0</v>
      </c>
      <c r="AK128">
        <f>IF(StudentData[[#This Row],[absences]]&gt;15,80,IF(StudentData[[#This Row],[absences]]&gt;10,50,0))</f>
        <v>0</v>
      </c>
      <c r="AL128">
        <f>IF(StudentData[[#This Row],[studytime]]=1,70,IF(StudentData[[#This Row],[studytime]]=2,40,0))</f>
        <v>40</v>
      </c>
      <c r="AM128">
        <f>IF(StudentData[[#This Row],[GradeDrop]]=1,50,0)</f>
        <v>0</v>
      </c>
      <c r="AN128">
        <f>0.4*StudentData[[#This Row],[FailureScore]]+0.3*StudentData[[#This Row],[AbsenceScore]]+0.2*StudentData[[#This Row],[StudyRisk]]+0.1*StudentData[[#This Row],[TrendRisk]]</f>
        <v>8</v>
      </c>
      <c r="AO128" t="str">
        <f>IF(StudentData[[#This Row],[RiskIndex]]&lt;=30,"Low",IF(StudentData[[#This Row],[RiskIndex]]&lt;=60,"Medium","High"))</f>
        <v>Low</v>
      </c>
      <c r="AP128">
        <f>StudentData[[#This Row],[G3]]+('Intervention Simulator'!$C$2*1.5)</f>
        <v>11</v>
      </c>
      <c r="AQ128" t="str">
        <f>IF(StudentData[[#This Row],[ProjectedGrade]]&gt;=10,"Pass","Fail")</f>
        <v>Pass</v>
      </c>
    </row>
    <row r="129" spans="1:4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  <c r="AH129" t="str">
        <f>IF(StudentData[[#This Row],[G3]]&gt;=10,"Pass","Fail")</f>
        <v>Pass</v>
      </c>
      <c r="AI129">
        <f>IF(StudentData[[#This Row],[G3]]&lt;StudentData[[#This Row],[G2]],1,0)</f>
        <v>0</v>
      </c>
      <c r="AJ129">
        <f>IF(StudentData[[#This Row],[failures]]&gt;=2,100,IF(StudentData[[#This Row],[failures]]=1,60,0))</f>
        <v>100</v>
      </c>
      <c r="AK129">
        <f>IF(StudentData[[#This Row],[absences]]&gt;15,80,IF(StudentData[[#This Row],[absences]]&gt;10,50,0))</f>
        <v>0</v>
      </c>
      <c r="AL129">
        <f>IF(StudentData[[#This Row],[studytime]]=1,70,IF(StudentData[[#This Row],[studytime]]=2,40,0))</f>
        <v>40</v>
      </c>
      <c r="AM129">
        <f>IF(StudentData[[#This Row],[GradeDrop]]=1,50,0)</f>
        <v>0</v>
      </c>
      <c r="AN129">
        <f>0.4*StudentData[[#This Row],[FailureScore]]+0.3*StudentData[[#This Row],[AbsenceScore]]+0.2*StudentData[[#This Row],[StudyRisk]]+0.1*StudentData[[#This Row],[TrendRisk]]</f>
        <v>48</v>
      </c>
      <c r="AO129" t="str">
        <f>IF(StudentData[[#This Row],[RiskIndex]]&lt;=30,"Low",IF(StudentData[[#This Row],[RiskIndex]]&lt;=60,"Medium","High"))</f>
        <v>Medium</v>
      </c>
      <c r="AP129">
        <f>StudentData[[#This Row],[G3]]+('Intervention Simulator'!$C$2*1.5)</f>
        <v>11</v>
      </c>
      <c r="AQ129" t="str">
        <f>IF(StudentData[[#This Row],[ProjectedGrade]]&gt;=10,"Pass","Fail")</f>
        <v>Pass</v>
      </c>
    </row>
    <row r="130" spans="1:43" x14ac:dyDescent="0.3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  <c r="AH130" t="str">
        <f>IF(StudentData[[#This Row],[G3]]&gt;=10,"Pass","Fail")</f>
        <v>Pass</v>
      </c>
      <c r="AI130">
        <f>IF(StudentData[[#This Row],[G3]]&lt;StudentData[[#This Row],[G2]],1,0)</f>
        <v>0</v>
      </c>
      <c r="AJ130">
        <f>IF(StudentData[[#This Row],[failures]]&gt;=2,100,IF(StudentData[[#This Row],[failures]]=1,60,0))</f>
        <v>0</v>
      </c>
      <c r="AK130">
        <f>IF(StudentData[[#This Row],[absences]]&gt;15,80,IF(StudentData[[#This Row],[absences]]&gt;10,50,0))</f>
        <v>0</v>
      </c>
      <c r="AL130">
        <f>IF(StudentData[[#This Row],[studytime]]=1,70,IF(StudentData[[#This Row],[studytime]]=2,40,0))</f>
        <v>70</v>
      </c>
      <c r="AM130">
        <f>IF(StudentData[[#This Row],[GradeDrop]]=1,50,0)</f>
        <v>0</v>
      </c>
      <c r="AN130">
        <f>0.4*StudentData[[#This Row],[FailureScore]]+0.3*StudentData[[#This Row],[AbsenceScore]]+0.2*StudentData[[#This Row],[StudyRisk]]+0.1*StudentData[[#This Row],[TrendRisk]]</f>
        <v>14</v>
      </c>
      <c r="AO130" t="str">
        <f>IF(StudentData[[#This Row],[RiskIndex]]&lt;=30,"Low",IF(StudentData[[#This Row],[RiskIndex]]&lt;=60,"Medium","High"))</f>
        <v>Low</v>
      </c>
      <c r="AP130">
        <f>StudentData[[#This Row],[G3]]+('Intervention Simulator'!$C$2*1.5)</f>
        <v>15</v>
      </c>
      <c r="AQ130" t="str">
        <f>IF(StudentData[[#This Row],[ProjectedGrade]]&gt;=10,"Pass","Fail")</f>
        <v>Pass</v>
      </c>
    </row>
    <row r="131" spans="1:43" x14ac:dyDescent="0.3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  <c r="AH131" t="str">
        <f>IF(StudentData[[#This Row],[G3]]&gt;=10,"Pass","Fail")</f>
        <v>Pass</v>
      </c>
      <c r="AI131">
        <f>IF(StudentData[[#This Row],[G3]]&lt;StudentData[[#This Row],[G2]],1,0)</f>
        <v>0</v>
      </c>
      <c r="AJ131">
        <f>IF(StudentData[[#This Row],[failures]]&gt;=2,100,IF(StudentData[[#This Row],[failures]]=1,60,0))</f>
        <v>0</v>
      </c>
      <c r="AK131">
        <f>IF(StudentData[[#This Row],[absences]]&gt;15,80,IF(StudentData[[#This Row],[absences]]&gt;10,50,0))</f>
        <v>0</v>
      </c>
      <c r="AL131">
        <f>IF(StudentData[[#This Row],[studytime]]=1,70,IF(StudentData[[#This Row],[studytime]]=2,40,0))</f>
        <v>0</v>
      </c>
      <c r="AM131">
        <f>IF(StudentData[[#This Row],[GradeDrop]]=1,50,0)</f>
        <v>0</v>
      </c>
      <c r="AN131">
        <f>0.4*StudentData[[#This Row],[FailureScore]]+0.3*StudentData[[#This Row],[AbsenceScore]]+0.2*StudentData[[#This Row],[StudyRisk]]+0.1*StudentData[[#This Row],[TrendRisk]]</f>
        <v>0</v>
      </c>
      <c r="AO131" t="str">
        <f>IF(StudentData[[#This Row],[RiskIndex]]&lt;=30,"Low",IF(StudentData[[#This Row],[RiskIndex]]&lt;=60,"Medium","High"))</f>
        <v>Low</v>
      </c>
      <c r="AP131">
        <f>StudentData[[#This Row],[G3]]+('Intervention Simulator'!$C$2*1.5)</f>
        <v>13</v>
      </c>
      <c r="AQ131" t="str">
        <f>IF(StudentData[[#This Row],[ProjectedGrade]]&gt;=10,"Pass","Fail")</f>
        <v>Pass</v>
      </c>
    </row>
    <row r="132" spans="1:4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  <c r="AH132" t="str">
        <f>IF(StudentData[[#This Row],[G3]]&gt;=10,"Pass","Fail")</f>
        <v>Pass</v>
      </c>
      <c r="AI132">
        <f>IF(StudentData[[#This Row],[G3]]&lt;StudentData[[#This Row],[G2]],1,0)</f>
        <v>0</v>
      </c>
      <c r="AJ132">
        <f>IF(StudentData[[#This Row],[failures]]&gt;=2,100,IF(StudentData[[#This Row],[failures]]=1,60,0))</f>
        <v>0</v>
      </c>
      <c r="AK132">
        <f>IF(StudentData[[#This Row],[absences]]&gt;15,80,IF(StudentData[[#This Row],[absences]]&gt;10,50,0))</f>
        <v>0</v>
      </c>
      <c r="AL132">
        <f>IF(StudentData[[#This Row],[studytime]]=1,70,IF(StudentData[[#This Row],[studytime]]=2,40,0))</f>
        <v>0</v>
      </c>
      <c r="AM132">
        <f>IF(StudentData[[#This Row],[GradeDrop]]=1,50,0)</f>
        <v>0</v>
      </c>
      <c r="AN132">
        <f>0.4*StudentData[[#This Row],[FailureScore]]+0.3*StudentData[[#This Row],[AbsenceScore]]+0.2*StudentData[[#This Row],[StudyRisk]]+0.1*StudentData[[#This Row],[TrendRisk]]</f>
        <v>0</v>
      </c>
      <c r="AO132" t="str">
        <f>IF(StudentData[[#This Row],[RiskIndex]]&lt;=30,"Low",IF(StudentData[[#This Row],[RiskIndex]]&lt;=60,"Medium","High"))</f>
        <v>Low</v>
      </c>
      <c r="AP132">
        <f>StudentData[[#This Row],[G3]]+('Intervention Simulator'!$C$2*1.5)</f>
        <v>12</v>
      </c>
      <c r="AQ132" t="str">
        <f>IF(StudentData[[#This Row],[ProjectedGrade]]&gt;=10,"Pass","Fail")</f>
        <v>Pass</v>
      </c>
    </row>
    <row r="133" spans="1:43" x14ac:dyDescent="0.3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  <c r="AH133" t="str">
        <f>IF(StudentData[[#This Row],[G3]]&gt;=10,"Pass","Fail")</f>
        <v>Fail</v>
      </c>
      <c r="AI133">
        <f>IF(StudentData[[#This Row],[G3]]&lt;StudentData[[#This Row],[G2]],1,0)</f>
        <v>1</v>
      </c>
      <c r="AJ133">
        <f>IF(StudentData[[#This Row],[failures]]&gt;=2,100,IF(StudentData[[#This Row],[failures]]=1,60,0))</f>
        <v>100</v>
      </c>
      <c r="AK133">
        <f>IF(StudentData[[#This Row],[absences]]&gt;15,80,IF(StudentData[[#This Row],[absences]]&gt;10,50,0))</f>
        <v>0</v>
      </c>
      <c r="AL133">
        <f>IF(StudentData[[#This Row],[studytime]]=1,70,IF(StudentData[[#This Row],[studytime]]=2,40,0))</f>
        <v>40</v>
      </c>
      <c r="AM133">
        <f>IF(StudentData[[#This Row],[GradeDrop]]=1,50,0)</f>
        <v>50</v>
      </c>
      <c r="AN133">
        <f>0.4*StudentData[[#This Row],[FailureScore]]+0.3*StudentData[[#This Row],[AbsenceScore]]+0.2*StudentData[[#This Row],[StudyRisk]]+0.1*StudentData[[#This Row],[TrendRisk]]</f>
        <v>53</v>
      </c>
      <c r="AO133" t="str">
        <f>IF(StudentData[[#This Row],[RiskIndex]]&lt;=30,"Low",IF(StudentData[[#This Row],[RiskIndex]]&lt;=60,"Medium","High"))</f>
        <v>Medium</v>
      </c>
      <c r="AP133">
        <f>StudentData[[#This Row],[G3]]+('Intervention Simulator'!$C$2*1.5)</f>
        <v>8</v>
      </c>
      <c r="AQ133" t="str">
        <f>IF(StudentData[[#This Row],[ProjectedGrade]]&gt;=10,"Pass","Fail")</f>
        <v>Fail</v>
      </c>
    </row>
    <row r="134" spans="1:4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  <c r="AH134" t="str">
        <f>IF(StudentData[[#This Row],[G3]]&gt;=10,"Pass","Fail")</f>
        <v>Pass</v>
      </c>
      <c r="AI134">
        <f>IF(StudentData[[#This Row],[G3]]&lt;StudentData[[#This Row],[G2]],1,0)</f>
        <v>0</v>
      </c>
      <c r="AJ134">
        <f>IF(StudentData[[#This Row],[failures]]&gt;=2,100,IF(StudentData[[#This Row],[failures]]=1,60,0))</f>
        <v>0</v>
      </c>
      <c r="AK134">
        <f>IF(StudentData[[#This Row],[absences]]&gt;15,80,IF(StudentData[[#This Row],[absences]]&gt;10,50,0))</f>
        <v>0</v>
      </c>
      <c r="AL134">
        <f>IF(StudentData[[#This Row],[studytime]]=1,70,IF(StudentData[[#This Row],[studytime]]=2,40,0))</f>
        <v>70</v>
      </c>
      <c r="AM134">
        <f>IF(StudentData[[#This Row],[GradeDrop]]=1,50,0)</f>
        <v>0</v>
      </c>
      <c r="AN134">
        <f>0.4*StudentData[[#This Row],[FailureScore]]+0.3*StudentData[[#This Row],[AbsenceScore]]+0.2*StudentData[[#This Row],[StudyRisk]]+0.1*StudentData[[#This Row],[TrendRisk]]</f>
        <v>14</v>
      </c>
      <c r="AO134" t="str">
        <f>IF(StudentData[[#This Row],[RiskIndex]]&lt;=30,"Low",IF(StudentData[[#This Row],[RiskIndex]]&lt;=60,"Medium","High"))</f>
        <v>Low</v>
      </c>
      <c r="AP134">
        <f>StudentData[[#This Row],[G3]]+('Intervention Simulator'!$C$2*1.5)</f>
        <v>11</v>
      </c>
      <c r="AQ134" t="str">
        <f>IF(StudentData[[#This Row],[ProjectedGrade]]&gt;=10,"Pass","Fail")</f>
        <v>Pass</v>
      </c>
    </row>
    <row r="135" spans="1:43" x14ac:dyDescent="0.3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  <c r="AH135" t="str">
        <f>IF(StudentData[[#This Row],[G3]]&gt;=10,"Pass","Fail")</f>
        <v>Pass</v>
      </c>
      <c r="AI135">
        <f>IF(StudentData[[#This Row],[G3]]&lt;StudentData[[#This Row],[G2]],1,0)</f>
        <v>0</v>
      </c>
      <c r="AJ135">
        <f>IF(StudentData[[#This Row],[failures]]&gt;=2,100,IF(StudentData[[#This Row],[failures]]=1,60,0))</f>
        <v>0</v>
      </c>
      <c r="AK135">
        <f>IF(StudentData[[#This Row],[absences]]&gt;15,80,IF(StudentData[[#This Row],[absences]]&gt;10,50,0))</f>
        <v>0</v>
      </c>
      <c r="AL135">
        <f>IF(StudentData[[#This Row],[studytime]]=1,70,IF(StudentData[[#This Row],[studytime]]=2,40,0))</f>
        <v>70</v>
      </c>
      <c r="AM135">
        <f>IF(StudentData[[#This Row],[GradeDrop]]=1,50,0)</f>
        <v>0</v>
      </c>
      <c r="AN135">
        <f>0.4*StudentData[[#This Row],[FailureScore]]+0.3*StudentData[[#This Row],[AbsenceScore]]+0.2*StudentData[[#This Row],[StudyRisk]]+0.1*StudentData[[#This Row],[TrendRisk]]</f>
        <v>14</v>
      </c>
      <c r="AO135" t="str">
        <f>IF(StudentData[[#This Row],[RiskIndex]]&lt;=30,"Low",IF(StudentData[[#This Row],[RiskIndex]]&lt;=60,"Medium","High"))</f>
        <v>Low</v>
      </c>
      <c r="AP135">
        <f>StudentData[[#This Row],[G3]]+('Intervention Simulator'!$C$2*1.5)</f>
        <v>13</v>
      </c>
      <c r="AQ135" t="str">
        <f>IF(StudentData[[#This Row],[ProjectedGrade]]&gt;=10,"Pass","Fail")</f>
        <v>Pass</v>
      </c>
    </row>
    <row r="136" spans="1:43" x14ac:dyDescent="0.3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  <c r="AH136" t="str">
        <f>IF(StudentData[[#This Row],[G3]]&gt;=10,"Pass","Fail")</f>
        <v>Pass</v>
      </c>
      <c r="AI136">
        <f>IF(StudentData[[#This Row],[G3]]&lt;StudentData[[#This Row],[G2]],1,0)</f>
        <v>0</v>
      </c>
      <c r="AJ136">
        <f>IF(StudentData[[#This Row],[failures]]&gt;=2,100,IF(StudentData[[#This Row],[failures]]=1,60,0))</f>
        <v>0</v>
      </c>
      <c r="AK136">
        <f>IF(StudentData[[#This Row],[absences]]&gt;15,80,IF(StudentData[[#This Row],[absences]]&gt;10,50,0))</f>
        <v>0</v>
      </c>
      <c r="AL136">
        <f>IF(StudentData[[#This Row],[studytime]]=1,70,IF(StudentData[[#This Row],[studytime]]=2,40,0))</f>
        <v>70</v>
      </c>
      <c r="AM136">
        <f>IF(StudentData[[#This Row],[GradeDrop]]=1,50,0)</f>
        <v>0</v>
      </c>
      <c r="AN136">
        <f>0.4*StudentData[[#This Row],[FailureScore]]+0.3*StudentData[[#This Row],[AbsenceScore]]+0.2*StudentData[[#This Row],[StudyRisk]]+0.1*StudentData[[#This Row],[TrendRisk]]</f>
        <v>14</v>
      </c>
      <c r="AO136" t="str">
        <f>IF(StudentData[[#This Row],[RiskIndex]]&lt;=30,"Low",IF(StudentData[[#This Row],[RiskIndex]]&lt;=60,"Medium","High"))</f>
        <v>Low</v>
      </c>
      <c r="AP136">
        <f>StudentData[[#This Row],[G3]]+('Intervention Simulator'!$C$2*1.5)</f>
        <v>12</v>
      </c>
      <c r="AQ136" t="str">
        <f>IF(StudentData[[#This Row],[ProjectedGrade]]&gt;=10,"Pass","Fail")</f>
        <v>Pass</v>
      </c>
    </row>
    <row r="137" spans="1:43" x14ac:dyDescent="0.3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  <c r="AH137" t="str">
        <f>IF(StudentData[[#This Row],[G3]]&gt;=10,"Pass","Fail")</f>
        <v>Pass</v>
      </c>
      <c r="AI137">
        <f>IF(StudentData[[#This Row],[G3]]&lt;StudentData[[#This Row],[G2]],1,0)</f>
        <v>0</v>
      </c>
      <c r="AJ137">
        <f>IF(StudentData[[#This Row],[failures]]&gt;=2,100,IF(StudentData[[#This Row],[failures]]=1,60,0))</f>
        <v>0</v>
      </c>
      <c r="AK137">
        <f>IF(StudentData[[#This Row],[absences]]&gt;15,80,IF(StudentData[[#This Row],[absences]]&gt;10,50,0))</f>
        <v>50</v>
      </c>
      <c r="AL137">
        <f>IF(StudentData[[#This Row],[studytime]]=1,70,IF(StudentData[[#This Row],[studytime]]=2,40,0))</f>
        <v>70</v>
      </c>
      <c r="AM137">
        <f>IF(StudentData[[#This Row],[GradeDrop]]=1,50,0)</f>
        <v>0</v>
      </c>
      <c r="AN137">
        <f>0.4*StudentData[[#This Row],[FailureScore]]+0.3*StudentData[[#This Row],[AbsenceScore]]+0.2*StudentData[[#This Row],[StudyRisk]]+0.1*StudentData[[#This Row],[TrendRisk]]</f>
        <v>29</v>
      </c>
      <c r="AO137" t="str">
        <f>IF(StudentData[[#This Row],[RiskIndex]]&lt;=30,"Low",IF(StudentData[[#This Row],[RiskIndex]]&lt;=60,"Medium","High"))</f>
        <v>Low</v>
      </c>
      <c r="AP137">
        <f>StudentData[[#This Row],[G3]]+('Intervention Simulator'!$C$2*1.5)</f>
        <v>14</v>
      </c>
      <c r="AQ137" t="str">
        <f>IF(StudentData[[#This Row],[ProjectedGrade]]&gt;=10,"Pass","Fail")</f>
        <v>Pass</v>
      </c>
    </row>
    <row r="138" spans="1:43" x14ac:dyDescent="0.3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  <c r="AH138" t="str">
        <f>IF(StudentData[[#This Row],[G3]]&gt;=10,"Pass","Fail")</f>
        <v>Pass</v>
      </c>
      <c r="AI138">
        <f>IF(StudentData[[#This Row],[G3]]&lt;StudentData[[#This Row],[G2]],1,0)</f>
        <v>0</v>
      </c>
      <c r="AJ138">
        <f>IF(StudentData[[#This Row],[failures]]&gt;=2,100,IF(StudentData[[#This Row],[failures]]=1,60,0))</f>
        <v>0</v>
      </c>
      <c r="AK138">
        <f>IF(StudentData[[#This Row],[absences]]&gt;15,80,IF(StudentData[[#This Row],[absences]]&gt;10,50,0))</f>
        <v>0</v>
      </c>
      <c r="AL138">
        <f>IF(StudentData[[#This Row],[studytime]]=1,70,IF(StudentData[[#This Row],[studytime]]=2,40,0))</f>
        <v>70</v>
      </c>
      <c r="AM138">
        <f>IF(StudentData[[#This Row],[GradeDrop]]=1,50,0)</f>
        <v>0</v>
      </c>
      <c r="AN138">
        <f>0.4*StudentData[[#This Row],[FailureScore]]+0.3*StudentData[[#This Row],[AbsenceScore]]+0.2*StudentData[[#This Row],[StudyRisk]]+0.1*StudentData[[#This Row],[TrendRisk]]</f>
        <v>14</v>
      </c>
      <c r="AO138" t="str">
        <f>IF(StudentData[[#This Row],[RiskIndex]]&lt;=30,"Low",IF(StudentData[[#This Row],[RiskIndex]]&lt;=60,"Medium","High"))</f>
        <v>Low</v>
      </c>
      <c r="AP138">
        <f>StudentData[[#This Row],[G3]]+('Intervention Simulator'!$C$2*1.5)</f>
        <v>11</v>
      </c>
      <c r="AQ138" t="str">
        <f>IF(StudentData[[#This Row],[ProjectedGrade]]&gt;=10,"Pass","Fail")</f>
        <v>Pass</v>
      </c>
    </row>
    <row r="139" spans="1:4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  <c r="AH139" t="str">
        <f>IF(StudentData[[#This Row],[G3]]&gt;=10,"Pass","Fail")</f>
        <v>Pass</v>
      </c>
      <c r="AI139">
        <f>IF(StudentData[[#This Row],[G3]]&lt;StudentData[[#This Row],[G2]],1,0)</f>
        <v>0</v>
      </c>
      <c r="AJ139">
        <f>IF(StudentData[[#This Row],[failures]]&gt;=2,100,IF(StudentData[[#This Row],[failures]]=1,60,0))</f>
        <v>60</v>
      </c>
      <c r="AK139">
        <f>IF(StudentData[[#This Row],[absences]]&gt;15,80,IF(StudentData[[#This Row],[absences]]&gt;10,50,0))</f>
        <v>50</v>
      </c>
      <c r="AL139">
        <f>IF(StudentData[[#This Row],[studytime]]=1,70,IF(StudentData[[#This Row],[studytime]]=2,40,0))</f>
        <v>70</v>
      </c>
      <c r="AM139">
        <f>IF(StudentData[[#This Row],[GradeDrop]]=1,50,0)</f>
        <v>0</v>
      </c>
      <c r="AN139">
        <f>0.4*StudentData[[#This Row],[FailureScore]]+0.3*StudentData[[#This Row],[AbsenceScore]]+0.2*StudentData[[#This Row],[StudyRisk]]+0.1*StudentData[[#This Row],[TrendRisk]]</f>
        <v>53</v>
      </c>
      <c r="AO139" t="str">
        <f>IF(StudentData[[#This Row],[RiskIndex]]&lt;=30,"Low",IF(StudentData[[#This Row],[RiskIndex]]&lt;=60,"Medium","High"))</f>
        <v>Medium</v>
      </c>
      <c r="AP139">
        <f>StudentData[[#This Row],[G3]]+('Intervention Simulator'!$C$2*1.5)</f>
        <v>11</v>
      </c>
      <c r="AQ139" t="str">
        <f>IF(StudentData[[#This Row],[ProjectedGrade]]&gt;=10,"Pass","Fail")</f>
        <v>Pass</v>
      </c>
    </row>
    <row r="140" spans="1:43" x14ac:dyDescent="0.3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  <c r="AH140" t="str">
        <f>IF(StudentData[[#This Row],[G3]]&gt;=10,"Pass","Fail")</f>
        <v>Pass</v>
      </c>
      <c r="AI140">
        <f>IF(StudentData[[#This Row],[G3]]&lt;StudentData[[#This Row],[G2]],1,0)</f>
        <v>0</v>
      </c>
      <c r="AJ140">
        <f>IF(StudentData[[#This Row],[failures]]&gt;=2,100,IF(StudentData[[#This Row],[failures]]=1,60,0))</f>
        <v>0</v>
      </c>
      <c r="AK140">
        <f>IF(StudentData[[#This Row],[absences]]&gt;15,80,IF(StudentData[[#This Row],[absences]]&gt;10,50,0))</f>
        <v>0</v>
      </c>
      <c r="AL140">
        <f>IF(StudentData[[#This Row],[studytime]]=1,70,IF(StudentData[[#This Row],[studytime]]=2,40,0))</f>
        <v>40</v>
      </c>
      <c r="AM140">
        <f>IF(StudentData[[#This Row],[GradeDrop]]=1,50,0)</f>
        <v>0</v>
      </c>
      <c r="AN140">
        <f>0.4*StudentData[[#This Row],[FailureScore]]+0.3*StudentData[[#This Row],[AbsenceScore]]+0.2*StudentData[[#This Row],[StudyRisk]]+0.1*StudentData[[#This Row],[TrendRisk]]</f>
        <v>8</v>
      </c>
      <c r="AO140" t="str">
        <f>IF(StudentData[[#This Row],[RiskIndex]]&lt;=30,"Low",IF(StudentData[[#This Row],[RiskIndex]]&lt;=60,"Medium","High"))</f>
        <v>Low</v>
      </c>
      <c r="AP140">
        <f>StudentData[[#This Row],[G3]]+('Intervention Simulator'!$C$2*1.5)</f>
        <v>11</v>
      </c>
      <c r="AQ140" t="str">
        <f>IF(StudentData[[#This Row],[ProjectedGrade]]&gt;=10,"Pass","Fail")</f>
        <v>Pass</v>
      </c>
    </row>
    <row r="141" spans="1:4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  <c r="AH141" t="str">
        <f>IF(StudentData[[#This Row],[G3]]&gt;=10,"Pass","Fail")</f>
        <v>Pass</v>
      </c>
      <c r="AI141">
        <f>IF(StudentData[[#This Row],[G3]]&lt;StudentData[[#This Row],[G2]],1,0)</f>
        <v>0</v>
      </c>
      <c r="AJ141">
        <f>IF(StudentData[[#This Row],[failures]]&gt;=2,100,IF(StudentData[[#This Row],[failures]]=1,60,0))</f>
        <v>0</v>
      </c>
      <c r="AK141">
        <f>IF(StudentData[[#This Row],[absences]]&gt;15,80,IF(StudentData[[#This Row],[absences]]&gt;10,50,0))</f>
        <v>0</v>
      </c>
      <c r="AL141">
        <f>IF(StudentData[[#This Row],[studytime]]=1,70,IF(StudentData[[#This Row],[studytime]]=2,40,0))</f>
        <v>0</v>
      </c>
      <c r="AM141">
        <f>IF(StudentData[[#This Row],[GradeDrop]]=1,50,0)</f>
        <v>0</v>
      </c>
      <c r="AN141">
        <f>0.4*StudentData[[#This Row],[FailureScore]]+0.3*StudentData[[#This Row],[AbsenceScore]]+0.2*StudentData[[#This Row],[StudyRisk]]+0.1*StudentData[[#This Row],[TrendRisk]]</f>
        <v>0</v>
      </c>
      <c r="AO141" t="str">
        <f>IF(StudentData[[#This Row],[RiskIndex]]&lt;=30,"Low",IF(StudentData[[#This Row],[RiskIndex]]&lt;=60,"Medium","High"))</f>
        <v>Low</v>
      </c>
      <c r="AP141">
        <f>StudentData[[#This Row],[G3]]+('Intervention Simulator'!$C$2*1.5)</f>
        <v>15</v>
      </c>
      <c r="AQ141" t="str">
        <f>IF(StudentData[[#This Row],[ProjectedGrade]]&gt;=10,"Pass","Fail")</f>
        <v>Pass</v>
      </c>
    </row>
    <row r="142" spans="1:43" x14ac:dyDescent="0.3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  <c r="AH142" t="str">
        <f>IF(StudentData[[#This Row],[G3]]&gt;=10,"Pass","Fail")</f>
        <v>Pass</v>
      </c>
      <c r="AI142">
        <f>IF(StudentData[[#This Row],[G3]]&lt;StudentData[[#This Row],[G2]],1,0)</f>
        <v>0</v>
      </c>
      <c r="AJ142">
        <f>IF(StudentData[[#This Row],[failures]]&gt;=2,100,IF(StudentData[[#This Row],[failures]]=1,60,0))</f>
        <v>0</v>
      </c>
      <c r="AK142">
        <f>IF(StudentData[[#This Row],[absences]]&gt;15,80,IF(StudentData[[#This Row],[absences]]&gt;10,50,0))</f>
        <v>0</v>
      </c>
      <c r="AL142">
        <f>IF(StudentData[[#This Row],[studytime]]=1,70,IF(StudentData[[#This Row],[studytime]]=2,40,0))</f>
        <v>40</v>
      </c>
      <c r="AM142">
        <f>IF(StudentData[[#This Row],[GradeDrop]]=1,50,0)</f>
        <v>0</v>
      </c>
      <c r="AN142">
        <f>0.4*StudentData[[#This Row],[FailureScore]]+0.3*StudentData[[#This Row],[AbsenceScore]]+0.2*StudentData[[#This Row],[StudyRisk]]+0.1*StudentData[[#This Row],[TrendRisk]]</f>
        <v>8</v>
      </c>
      <c r="AO142" t="str">
        <f>IF(StudentData[[#This Row],[RiskIndex]]&lt;=30,"Low",IF(StudentData[[#This Row],[RiskIndex]]&lt;=60,"Medium","High"))</f>
        <v>Low</v>
      </c>
      <c r="AP142">
        <f>StudentData[[#This Row],[G3]]+('Intervention Simulator'!$C$2*1.5)</f>
        <v>10</v>
      </c>
      <c r="AQ142" t="str">
        <f>IF(StudentData[[#This Row],[ProjectedGrade]]&gt;=10,"Pass","Fail")</f>
        <v>Pass</v>
      </c>
    </row>
    <row r="143" spans="1:43" x14ac:dyDescent="0.3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  <c r="AH143" t="str">
        <f>IF(StudentData[[#This Row],[G3]]&gt;=10,"Pass","Fail")</f>
        <v>Pass</v>
      </c>
      <c r="AI143">
        <f>IF(StudentData[[#This Row],[G3]]&lt;StudentData[[#This Row],[G2]],1,0)</f>
        <v>0</v>
      </c>
      <c r="AJ143">
        <f>IF(StudentData[[#This Row],[failures]]&gt;=2,100,IF(StudentData[[#This Row],[failures]]=1,60,0))</f>
        <v>0</v>
      </c>
      <c r="AK143">
        <f>IF(StudentData[[#This Row],[absences]]&gt;15,80,IF(StudentData[[#This Row],[absences]]&gt;10,50,0))</f>
        <v>0</v>
      </c>
      <c r="AL143">
        <f>IF(StudentData[[#This Row],[studytime]]=1,70,IF(StudentData[[#This Row],[studytime]]=2,40,0))</f>
        <v>40</v>
      </c>
      <c r="AM143">
        <f>IF(StudentData[[#This Row],[GradeDrop]]=1,50,0)</f>
        <v>0</v>
      </c>
      <c r="AN143">
        <f>0.4*StudentData[[#This Row],[FailureScore]]+0.3*StudentData[[#This Row],[AbsenceScore]]+0.2*StudentData[[#This Row],[StudyRisk]]+0.1*StudentData[[#This Row],[TrendRisk]]</f>
        <v>8</v>
      </c>
      <c r="AO143" t="str">
        <f>IF(StudentData[[#This Row],[RiskIndex]]&lt;=30,"Low",IF(StudentData[[#This Row],[RiskIndex]]&lt;=60,"Medium","High"))</f>
        <v>Low</v>
      </c>
      <c r="AP143">
        <f>StudentData[[#This Row],[G3]]+('Intervention Simulator'!$C$2*1.5)</f>
        <v>13</v>
      </c>
      <c r="AQ143" t="str">
        <f>IF(StudentData[[#This Row],[ProjectedGrade]]&gt;=10,"Pass","Fail")</f>
        <v>Pass</v>
      </c>
    </row>
    <row r="144" spans="1:43" x14ac:dyDescent="0.3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  <c r="AH144" t="str">
        <f>IF(StudentData[[#This Row],[G3]]&gt;=10,"Pass","Fail")</f>
        <v>Pass</v>
      </c>
      <c r="AI144">
        <f>IF(StudentData[[#This Row],[G3]]&lt;StudentData[[#This Row],[G2]],1,0)</f>
        <v>0</v>
      </c>
      <c r="AJ144">
        <f>IF(StudentData[[#This Row],[failures]]&gt;=2,100,IF(StudentData[[#This Row],[failures]]=1,60,0))</f>
        <v>0</v>
      </c>
      <c r="AK144">
        <f>IF(StudentData[[#This Row],[absences]]&gt;15,80,IF(StudentData[[#This Row],[absences]]&gt;10,50,0))</f>
        <v>0</v>
      </c>
      <c r="AL144">
        <f>IF(StudentData[[#This Row],[studytime]]=1,70,IF(StudentData[[#This Row],[studytime]]=2,40,0))</f>
        <v>70</v>
      </c>
      <c r="AM144">
        <f>IF(StudentData[[#This Row],[GradeDrop]]=1,50,0)</f>
        <v>0</v>
      </c>
      <c r="AN144">
        <f>0.4*StudentData[[#This Row],[FailureScore]]+0.3*StudentData[[#This Row],[AbsenceScore]]+0.2*StudentData[[#This Row],[StudyRisk]]+0.1*StudentData[[#This Row],[TrendRisk]]</f>
        <v>14</v>
      </c>
      <c r="AO144" t="str">
        <f>IF(StudentData[[#This Row],[RiskIndex]]&lt;=30,"Low",IF(StudentData[[#This Row],[RiskIndex]]&lt;=60,"Medium","High"))</f>
        <v>Low</v>
      </c>
      <c r="AP144">
        <f>StudentData[[#This Row],[G3]]+('Intervention Simulator'!$C$2*1.5)</f>
        <v>12</v>
      </c>
      <c r="AQ144" t="str">
        <f>IF(StudentData[[#This Row],[ProjectedGrade]]&gt;=10,"Pass","Fail")</f>
        <v>Pass</v>
      </c>
    </row>
    <row r="145" spans="1:43" x14ac:dyDescent="0.3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  <c r="AH145" t="str">
        <f>IF(StudentData[[#This Row],[G3]]&gt;=10,"Pass","Fail")</f>
        <v>Pass</v>
      </c>
      <c r="AI145">
        <f>IF(StudentData[[#This Row],[G3]]&lt;StudentData[[#This Row],[G2]],1,0)</f>
        <v>0</v>
      </c>
      <c r="AJ145">
        <f>IF(StudentData[[#This Row],[failures]]&gt;=2,100,IF(StudentData[[#This Row],[failures]]=1,60,0))</f>
        <v>0</v>
      </c>
      <c r="AK145">
        <f>IF(StudentData[[#This Row],[absences]]&gt;15,80,IF(StudentData[[#This Row],[absences]]&gt;10,50,0))</f>
        <v>0</v>
      </c>
      <c r="AL145">
        <f>IF(StudentData[[#This Row],[studytime]]=1,70,IF(StudentData[[#This Row],[studytime]]=2,40,0))</f>
        <v>0</v>
      </c>
      <c r="AM145">
        <f>IF(StudentData[[#This Row],[GradeDrop]]=1,50,0)</f>
        <v>0</v>
      </c>
      <c r="AN145">
        <f>0.4*StudentData[[#This Row],[FailureScore]]+0.3*StudentData[[#This Row],[AbsenceScore]]+0.2*StudentData[[#This Row],[StudyRisk]]+0.1*StudentData[[#This Row],[TrendRisk]]</f>
        <v>0</v>
      </c>
      <c r="AO145" t="str">
        <f>IF(StudentData[[#This Row],[RiskIndex]]&lt;=30,"Low",IF(StudentData[[#This Row],[RiskIndex]]&lt;=60,"Medium","High"))</f>
        <v>Low</v>
      </c>
      <c r="AP145">
        <f>StudentData[[#This Row],[G3]]+('Intervention Simulator'!$C$2*1.5)</f>
        <v>11</v>
      </c>
      <c r="AQ145" t="str">
        <f>IF(StudentData[[#This Row],[ProjectedGrade]]&gt;=10,"Pass","Fail")</f>
        <v>Pass</v>
      </c>
    </row>
    <row r="146" spans="1:43" x14ac:dyDescent="0.3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  <c r="AH146" t="str">
        <f>IF(StudentData[[#This Row],[G3]]&gt;=10,"Pass","Fail")</f>
        <v>Pass</v>
      </c>
      <c r="AI146">
        <f>IF(StudentData[[#This Row],[G3]]&lt;StudentData[[#This Row],[G2]],1,0)</f>
        <v>0</v>
      </c>
      <c r="AJ146">
        <f>IF(StudentData[[#This Row],[failures]]&gt;=2,100,IF(StudentData[[#This Row],[failures]]=1,60,0))</f>
        <v>0</v>
      </c>
      <c r="AK146">
        <f>IF(StudentData[[#This Row],[absences]]&gt;15,80,IF(StudentData[[#This Row],[absences]]&gt;10,50,0))</f>
        <v>0</v>
      </c>
      <c r="AL146">
        <f>IF(StudentData[[#This Row],[studytime]]=1,70,IF(StudentData[[#This Row],[studytime]]=2,40,0))</f>
        <v>70</v>
      </c>
      <c r="AM146">
        <f>IF(StudentData[[#This Row],[GradeDrop]]=1,50,0)</f>
        <v>0</v>
      </c>
      <c r="AN146">
        <f>0.4*StudentData[[#This Row],[FailureScore]]+0.3*StudentData[[#This Row],[AbsenceScore]]+0.2*StudentData[[#This Row],[StudyRisk]]+0.1*StudentData[[#This Row],[TrendRisk]]</f>
        <v>14</v>
      </c>
      <c r="AO146" t="str">
        <f>IF(StudentData[[#This Row],[RiskIndex]]&lt;=30,"Low",IF(StudentData[[#This Row],[RiskIndex]]&lt;=60,"Medium","High"))</f>
        <v>Low</v>
      </c>
      <c r="AP146">
        <f>StudentData[[#This Row],[G3]]+('Intervention Simulator'!$C$2*1.5)</f>
        <v>11</v>
      </c>
      <c r="AQ146" t="str">
        <f>IF(StudentData[[#This Row],[ProjectedGrade]]&gt;=10,"Pass","Fail")</f>
        <v>Pass</v>
      </c>
    </row>
    <row r="147" spans="1:43" x14ac:dyDescent="0.3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  <c r="AH147" t="str">
        <f>IF(StudentData[[#This Row],[G3]]&gt;=10,"Pass","Fail")</f>
        <v>Pass</v>
      </c>
      <c r="AI147">
        <f>IF(StudentData[[#This Row],[G3]]&lt;StudentData[[#This Row],[G2]],1,0)</f>
        <v>0</v>
      </c>
      <c r="AJ147">
        <f>IF(StudentData[[#This Row],[failures]]&gt;=2,100,IF(StudentData[[#This Row],[failures]]=1,60,0))</f>
        <v>0</v>
      </c>
      <c r="AK147">
        <f>IF(StudentData[[#This Row],[absences]]&gt;15,80,IF(StudentData[[#This Row],[absences]]&gt;10,50,0))</f>
        <v>0</v>
      </c>
      <c r="AL147">
        <f>IF(StudentData[[#This Row],[studytime]]=1,70,IF(StudentData[[#This Row],[studytime]]=2,40,0))</f>
        <v>70</v>
      </c>
      <c r="AM147">
        <f>IF(StudentData[[#This Row],[GradeDrop]]=1,50,0)</f>
        <v>0</v>
      </c>
      <c r="AN147">
        <f>0.4*StudentData[[#This Row],[FailureScore]]+0.3*StudentData[[#This Row],[AbsenceScore]]+0.2*StudentData[[#This Row],[StudyRisk]]+0.1*StudentData[[#This Row],[TrendRisk]]</f>
        <v>14</v>
      </c>
      <c r="AO147" t="str">
        <f>IF(StudentData[[#This Row],[RiskIndex]]&lt;=30,"Low",IF(StudentData[[#This Row],[RiskIndex]]&lt;=60,"Medium","High"))</f>
        <v>Low</v>
      </c>
      <c r="AP147">
        <f>StudentData[[#This Row],[G3]]+('Intervention Simulator'!$C$2*1.5)</f>
        <v>10</v>
      </c>
      <c r="AQ147" t="str">
        <f>IF(StudentData[[#This Row],[ProjectedGrade]]&gt;=10,"Pass","Fail")</f>
        <v>Pass</v>
      </c>
    </row>
    <row r="148" spans="1:43" x14ac:dyDescent="0.3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  <c r="AH148" t="str">
        <f>IF(StudentData[[#This Row],[G3]]&gt;=10,"Pass","Fail")</f>
        <v>Pass</v>
      </c>
      <c r="AI148">
        <f>IF(StudentData[[#This Row],[G3]]&lt;StudentData[[#This Row],[G2]],1,0)</f>
        <v>0</v>
      </c>
      <c r="AJ148">
        <f>IF(StudentData[[#This Row],[failures]]&gt;=2,100,IF(StudentData[[#This Row],[failures]]=1,60,0))</f>
        <v>100</v>
      </c>
      <c r="AK148">
        <f>IF(StudentData[[#This Row],[absences]]&gt;15,80,IF(StudentData[[#This Row],[absences]]&gt;10,50,0))</f>
        <v>0</v>
      </c>
      <c r="AL148">
        <f>IF(StudentData[[#This Row],[studytime]]=1,70,IF(StudentData[[#This Row],[studytime]]=2,40,0))</f>
        <v>40</v>
      </c>
      <c r="AM148">
        <f>IF(StudentData[[#This Row],[GradeDrop]]=1,50,0)</f>
        <v>0</v>
      </c>
      <c r="AN148">
        <f>0.4*StudentData[[#This Row],[FailureScore]]+0.3*StudentData[[#This Row],[AbsenceScore]]+0.2*StudentData[[#This Row],[StudyRisk]]+0.1*StudentData[[#This Row],[TrendRisk]]</f>
        <v>48</v>
      </c>
      <c r="AO148" t="str">
        <f>IF(StudentData[[#This Row],[RiskIndex]]&lt;=30,"Low",IF(StudentData[[#This Row],[RiskIndex]]&lt;=60,"Medium","High"))</f>
        <v>Medium</v>
      </c>
      <c r="AP148">
        <f>StudentData[[#This Row],[G3]]+('Intervention Simulator'!$C$2*1.5)</f>
        <v>10</v>
      </c>
      <c r="AQ148" t="str">
        <f>IF(StudentData[[#This Row],[ProjectedGrade]]&gt;=10,"Pass","Fail")</f>
        <v>Pass</v>
      </c>
    </row>
    <row r="149" spans="1:4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  <c r="AH149" t="str">
        <f>IF(StudentData[[#This Row],[G3]]&gt;=10,"Pass","Fail")</f>
        <v>Pass</v>
      </c>
      <c r="AI149">
        <f>IF(StudentData[[#This Row],[G3]]&lt;StudentData[[#This Row],[G2]],1,0)</f>
        <v>0</v>
      </c>
      <c r="AJ149">
        <f>IF(StudentData[[#This Row],[failures]]&gt;=2,100,IF(StudentData[[#This Row],[failures]]=1,60,0))</f>
        <v>0</v>
      </c>
      <c r="AK149">
        <f>IF(StudentData[[#This Row],[absences]]&gt;15,80,IF(StudentData[[#This Row],[absences]]&gt;10,50,0))</f>
        <v>0</v>
      </c>
      <c r="AL149">
        <f>IF(StudentData[[#This Row],[studytime]]=1,70,IF(StudentData[[#This Row],[studytime]]=2,40,0))</f>
        <v>70</v>
      </c>
      <c r="AM149">
        <f>IF(StudentData[[#This Row],[GradeDrop]]=1,50,0)</f>
        <v>0</v>
      </c>
      <c r="AN149">
        <f>0.4*StudentData[[#This Row],[FailureScore]]+0.3*StudentData[[#This Row],[AbsenceScore]]+0.2*StudentData[[#This Row],[StudyRisk]]+0.1*StudentData[[#This Row],[TrendRisk]]</f>
        <v>14</v>
      </c>
      <c r="AO149" t="str">
        <f>IF(StudentData[[#This Row],[RiskIndex]]&lt;=30,"Low",IF(StudentData[[#This Row],[RiskIndex]]&lt;=60,"Medium","High"))</f>
        <v>Low</v>
      </c>
      <c r="AP149">
        <f>StudentData[[#This Row],[G3]]+('Intervention Simulator'!$C$2*1.5)</f>
        <v>14</v>
      </c>
      <c r="AQ149" t="str">
        <f>IF(StudentData[[#This Row],[ProjectedGrade]]&gt;=10,"Pass","Fail")</f>
        <v>Pass</v>
      </c>
    </row>
    <row r="150" spans="1:43" x14ac:dyDescent="0.3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  <c r="AH150" t="str">
        <f>IF(StudentData[[#This Row],[G3]]&gt;=10,"Pass","Fail")</f>
        <v>Fail</v>
      </c>
      <c r="AI150">
        <f>IF(StudentData[[#This Row],[G3]]&lt;StudentData[[#This Row],[G2]],1,0)</f>
        <v>0</v>
      </c>
      <c r="AJ150">
        <f>IF(StudentData[[#This Row],[failures]]&gt;=2,100,IF(StudentData[[#This Row],[failures]]=1,60,0))</f>
        <v>60</v>
      </c>
      <c r="AK150">
        <f>IF(StudentData[[#This Row],[absences]]&gt;15,80,IF(StudentData[[#This Row],[absences]]&gt;10,50,0))</f>
        <v>0</v>
      </c>
      <c r="AL150">
        <f>IF(StudentData[[#This Row],[studytime]]=1,70,IF(StudentData[[#This Row],[studytime]]=2,40,0))</f>
        <v>70</v>
      </c>
      <c r="AM150">
        <f>IF(StudentData[[#This Row],[GradeDrop]]=1,50,0)</f>
        <v>0</v>
      </c>
      <c r="AN150">
        <f>0.4*StudentData[[#This Row],[FailureScore]]+0.3*StudentData[[#This Row],[AbsenceScore]]+0.2*StudentData[[#This Row],[StudyRisk]]+0.1*StudentData[[#This Row],[TrendRisk]]</f>
        <v>38</v>
      </c>
      <c r="AO150" t="str">
        <f>IF(StudentData[[#This Row],[RiskIndex]]&lt;=30,"Low",IF(StudentData[[#This Row],[RiskIndex]]&lt;=60,"Medium","High"))</f>
        <v>Medium</v>
      </c>
      <c r="AP150">
        <f>StudentData[[#This Row],[G3]]+('Intervention Simulator'!$C$2*1.5)</f>
        <v>9</v>
      </c>
      <c r="AQ150" t="str">
        <f>IF(StudentData[[#This Row],[ProjectedGrade]]&gt;=10,"Pass","Fail")</f>
        <v>Fail</v>
      </c>
    </row>
    <row r="151" spans="1:43" x14ac:dyDescent="0.3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  <c r="AH151" t="str">
        <f>IF(StudentData[[#This Row],[G3]]&gt;=10,"Pass","Fail")</f>
        <v>Pass</v>
      </c>
      <c r="AI151">
        <f>IF(StudentData[[#This Row],[G3]]&lt;StudentData[[#This Row],[G2]],1,0)</f>
        <v>0</v>
      </c>
      <c r="AJ151">
        <f>IF(StudentData[[#This Row],[failures]]&gt;=2,100,IF(StudentData[[#This Row],[failures]]=1,60,0))</f>
        <v>0</v>
      </c>
      <c r="AK151">
        <f>IF(StudentData[[#This Row],[absences]]&gt;15,80,IF(StudentData[[#This Row],[absences]]&gt;10,50,0))</f>
        <v>0</v>
      </c>
      <c r="AL151">
        <f>IF(StudentData[[#This Row],[studytime]]=1,70,IF(StudentData[[#This Row],[studytime]]=2,40,0))</f>
        <v>0</v>
      </c>
      <c r="AM151">
        <f>IF(StudentData[[#This Row],[GradeDrop]]=1,50,0)</f>
        <v>0</v>
      </c>
      <c r="AN151">
        <f>0.4*StudentData[[#This Row],[FailureScore]]+0.3*StudentData[[#This Row],[AbsenceScore]]+0.2*StudentData[[#This Row],[StudyRisk]]+0.1*StudentData[[#This Row],[TrendRisk]]</f>
        <v>0</v>
      </c>
      <c r="AO151" t="str">
        <f>IF(StudentData[[#This Row],[RiskIndex]]&lt;=30,"Low",IF(StudentData[[#This Row],[RiskIndex]]&lt;=60,"Medium","High"))</f>
        <v>Low</v>
      </c>
      <c r="AP151">
        <f>StudentData[[#This Row],[G3]]+('Intervention Simulator'!$C$2*1.5)</f>
        <v>11</v>
      </c>
      <c r="AQ151" t="str">
        <f>IF(StudentData[[#This Row],[ProjectedGrade]]&gt;=10,"Pass","Fail")</f>
        <v>Pass</v>
      </c>
    </row>
    <row r="152" spans="1:43" x14ac:dyDescent="0.3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  <c r="AH152" t="str">
        <f>IF(StudentData[[#This Row],[G3]]&gt;=10,"Pass","Fail")</f>
        <v>Fail</v>
      </c>
      <c r="AI152">
        <f>IF(StudentData[[#This Row],[G3]]&lt;StudentData[[#This Row],[G2]],1,0)</f>
        <v>0</v>
      </c>
      <c r="AJ152">
        <f>IF(StudentData[[#This Row],[failures]]&gt;=2,100,IF(StudentData[[#This Row],[failures]]=1,60,0))</f>
        <v>0</v>
      </c>
      <c r="AK152">
        <f>IF(StudentData[[#This Row],[absences]]&gt;15,80,IF(StudentData[[#This Row],[absences]]&gt;10,50,0))</f>
        <v>80</v>
      </c>
      <c r="AL152">
        <f>IF(StudentData[[#This Row],[studytime]]=1,70,IF(StudentData[[#This Row],[studytime]]=2,40,0))</f>
        <v>40</v>
      </c>
      <c r="AM152">
        <f>IF(StudentData[[#This Row],[GradeDrop]]=1,50,0)</f>
        <v>0</v>
      </c>
      <c r="AN152">
        <f>0.4*StudentData[[#This Row],[FailureScore]]+0.3*StudentData[[#This Row],[AbsenceScore]]+0.2*StudentData[[#This Row],[StudyRisk]]+0.1*StudentData[[#This Row],[TrendRisk]]</f>
        <v>32</v>
      </c>
      <c r="AO152" t="str">
        <f>IF(StudentData[[#This Row],[RiskIndex]]&lt;=30,"Low",IF(StudentData[[#This Row],[RiskIndex]]&lt;=60,"Medium","High"))</f>
        <v>Medium</v>
      </c>
      <c r="AP152">
        <f>StudentData[[#This Row],[G3]]+('Intervention Simulator'!$C$2*1.5)</f>
        <v>9</v>
      </c>
      <c r="AQ152" t="str">
        <f>IF(StudentData[[#This Row],[ProjectedGrade]]&gt;=10,"Pass","Fail")</f>
        <v>Fail</v>
      </c>
    </row>
    <row r="153" spans="1:43" x14ac:dyDescent="0.3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  <c r="AH153" t="str">
        <f>IF(StudentData[[#This Row],[G3]]&gt;=10,"Pass","Fail")</f>
        <v>Pass</v>
      </c>
      <c r="AI153">
        <f>IF(StudentData[[#This Row],[G3]]&lt;StudentData[[#This Row],[G2]],1,0)</f>
        <v>0</v>
      </c>
      <c r="AJ153">
        <f>IF(StudentData[[#This Row],[failures]]&gt;=2,100,IF(StudentData[[#This Row],[failures]]=1,60,0))</f>
        <v>0</v>
      </c>
      <c r="AK153">
        <f>IF(StudentData[[#This Row],[absences]]&gt;15,80,IF(StudentData[[#This Row],[absences]]&gt;10,50,0))</f>
        <v>0</v>
      </c>
      <c r="AL153">
        <f>IF(StudentData[[#This Row],[studytime]]=1,70,IF(StudentData[[#This Row],[studytime]]=2,40,0))</f>
        <v>0</v>
      </c>
      <c r="AM153">
        <f>IF(StudentData[[#This Row],[GradeDrop]]=1,50,0)</f>
        <v>0</v>
      </c>
      <c r="AN153">
        <f>0.4*StudentData[[#This Row],[FailureScore]]+0.3*StudentData[[#This Row],[AbsenceScore]]+0.2*StudentData[[#This Row],[StudyRisk]]+0.1*StudentData[[#This Row],[TrendRisk]]</f>
        <v>0</v>
      </c>
      <c r="AO153" t="str">
        <f>IF(StudentData[[#This Row],[RiskIndex]]&lt;=30,"Low",IF(StudentData[[#This Row],[RiskIndex]]&lt;=60,"Medium","High"))</f>
        <v>Low</v>
      </c>
      <c r="AP153">
        <f>StudentData[[#This Row],[G3]]+('Intervention Simulator'!$C$2*1.5)</f>
        <v>13</v>
      </c>
      <c r="AQ153" t="str">
        <f>IF(StudentData[[#This Row],[ProjectedGrade]]&gt;=10,"Pass","Fail")</f>
        <v>Pass</v>
      </c>
    </row>
    <row r="154" spans="1:43" x14ac:dyDescent="0.3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  <c r="AH154" t="str">
        <f>IF(StudentData[[#This Row],[G3]]&gt;=10,"Pass","Fail")</f>
        <v>Pass</v>
      </c>
      <c r="AI154">
        <f>IF(StudentData[[#This Row],[G3]]&lt;StudentData[[#This Row],[G2]],1,0)</f>
        <v>0</v>
      </c>
      <c r="AJ154">
        <f>IF(StudentData[[#This Row],[failures]]&gt;=2,100,IF(StudentData[[#This Row],[failures]]=1,60,0))</f>
        <v>0</v>
      </c>
      <c r="AK154">
        <f>IF(StudentData[[#This Row],[absences]]&gt;15,80,IF(StudentData[[#This Row],[absences]]&gt;10,50,0))</f>
        <v>0</v>
      </c>
      <c r="AL154">
        <f>IF(StudentData[[#This Row],[studytime]]=1,70,IF(StudentData[[#This Row],[studytime]]=2,40,0))</f>
        <v>70</v>
      </c>
      <c r="AM154">
        <f>IF(StudentData[[#This Row],[GradeDrop]]=1,50,0)</f>
        <v>0</v>
      </c>
      <c r="AN154">
        <f>0.4*StudentData[[#This Row],[FailureScore]]+0.3*StudentData[[#This Row],[AbsenceScore]]+0.2*StudentData[[#This Row],[StudyRisk]]+0.1*StudentData[[#This Row],[TrendRisk]]</f>
        <v>14</v>
      </c>
      <c r="AO154" t="str">
        <f>IF(StudentData[[#This Row],[RiskIndex]]&lt;=30,"Low",IF(StudentData[[#This Row],[RiskIndex]]&lt;=60,"Medium","High"))</f>
        <v>Low</v>
      </c>
      <c r="AP154">
        <f>StudentData[[#This Row],[G3]]+('Intervention Simulator'!$C$2*1.5)</f>
        <v>11</v>
      </c>
      <c r="AQ154" t="str">
        <f>IF(StudentData[[#This Row],[ProjectedGrade]]&gt;=10,"Pass","Fail")</f>
        <v>Pass</v>
      </c>
    </row>
    <row r="155" spans="1:43" x14ac:dyDescent="0.3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  <c r="AH155" t="str">
        <f>IF(StudentData[[#This Row],[G3]]&gt;=10,"Pass","Fail")</f>
        <v>Pass</v>
      </c>
      <c r="AI155">
        <f>IF(StudentData[[#This Row],[G3]]&lt;StudentData[[#This Row],[G2]],1,0)</f>
        <v>0</v>
      </c>
      <c r="AJ155">
        <f>IF(StudentData[[#This Row],[failures]]&gt;=2,100,IF(StudentData[[#This Row],[failures]]=1,60,0))</f>
        <v>0</v>
      </c>
      <c r="AK155">
        <f>IF(StudentData[[#This Row],[absences]]&gt;15,80,IF(StudentData[[#This Row],[absences]]&gt;10,50,0))</f>
        <v>0</v>
      </c>
      <c r="AL155">
        <f>IF(StudentData[[#This Row],[studytime]]=1,70,IF(StudentData[[#This Row],[studytime]]=2,40,0))</f>
        <v>0</v>
      </c>
      <c r="AM155">
        <f>IF(StudentData[[#This Row],[GradeDrop]]=1,50,0)</f>
        <v>0</v>
      </c>
      <c r="AN155">
        <f>0.4*StudentData[[#This Row],[FailureScore]]+0.3*StudentData[[#This Row],[AbsenceScore]]+0.2*StudentData[[#This Row],[StudyRisk]]+0.1*StudentData[[#This Row],[TrendRisk]]</f>
        <v>0</v>
      </c>
      <c r="AO155" t="str">
        <f>IF(StudentData[[#This Row],[RiskIndex]]&lt;=30,"Low",IF(StudentData[[#This Row],[RiskIndex]]&lt;=60,"Medium","High"))</f>
        <v>Low</v>
      </c>
      <c r="AP155">
        <f>StudentData[[#This Row],[G3]]+('Intervention Simulator'!$C$2*1.5)</f>
        <v>13</v>
      </c>
      <c r="AQ155" t="str">
        <f>IF(StudentData[[#This Row],[ProjectedGrade]]&gt;=10,"Pass","Fail")</f>
        <v>Pass</v>
      </c>
    </row>
    <row r="156" spans="1:43" x14ac:dyDescent="0.3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  <c r="AH156" t="str">
        <f>IF(StudentData[[#This Row],[G3]]&gt;=10,"Pass","Fail")</f>
        <v>Pass</v>
      </c>
      <c r="AI156">
        <f>IF(StudentData[[#This Row],[G3]]&lt;StudentData[[#This Row],[G2]],1,0)</f>
        <v>0</v>
      </c>
      <c r="AJ156">
        <f>IF(StudentData[[#This Row],[failures]]&gt;=2,100,IF(StudentData[[#This Row],[failures]]=1,60,0))</f>
        <v>0</v>
      </c>
      <c r="AK156">
        <f>IF(StudentData[[#This Row],[absences]]&gt;15,80,IF(StudentData[[#This Row],[absences]]&gt;10,50,0))</f>
        <v>0</v>
      </c>
      <c r="AL156">
        <f>IF(StudentData[[#This Row],[studytime]]=1,70,IF(StudentData[[#This Row],[studytime]]=2,40,0))</f>
        <v>70</v>
      </c>
      <c r="AM156">
        <f>IF(StudentData[[#This Row],[GradeDrop]]=1,50,0)</f>
        <v>0</v>
      </c>
      <c r="AN156">
        <f>0.4*StudentData[[#This Row],[FailureScore]]+0.3*StudentData[[#This Row],[AbsenceScore]]+0.2*StudentData[[#This Row],[StudyRisk]]+0.1*StudentData[[#This Row],[TrendRisk]]</f>
        <v>14</v>
      </c>
      <c r="AO156" t="str">
        <f>IF(StudentData[[#This Row],[RiskIndex]]&lt;=30,"Low",IF(StudentData[[#This Row],[RiskIndex]]&lt;=60,"Medium","High"))</f>
        <v>Low</v>
      </c>
      <c r="AP156">
        <f>StudentData[[#This Row],[G3]]+('Intervention Simulator'!$C$2*1.5)</f>
        <v>11</v>
      </c>
      <c r="AQ156" t="str">
        <f>IF(StudentData[[#This Row],[ProjectedGrade]]&gt;=10,"Pass","Fail")</f>
        <v>Pass</v>
      </c>
    </row>
    <row r="157" spans="1:43" x14ac:dyDescent="0.3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  <c r="AH157" t="str">
        <f>IF(StudentData[[#This Row],[G3]]&gt;=10,"Pass","Fail")</f>
        <v>Fail</v>
      </c>
      <c r="AI157">
        <f>IF(StudentData[[#This Row],[G3]]&lt;StudentData[[#This Row],[G2]],1,0)</f>
        <v>1</v>
      </c>
      <c r="AJ157">
        <f>IF(StudentData[[#This Row],[failures]]&gt;=2,100,IF(StudentData[[#This Row],[failures]]=1,60,0))</f>
        <v>0</v>
      </c>
      <c r="AK157">
        <f>IF(StudentData[[#This Row],[absences]]&gt;15,80,IF(StudentData[[#This Row],[absences]]&gt;10,50,0))</f>
        <v>80</v>
      </c>
      <c r="AL157">
        <f>IF(StudentData[[#This Row],[studytime]]=1,70,IF(StudentData[[#This Row],[studytime]]=2,40,0))</f>
        <v>70</v>
      </c>
      <c r="AM157">
        <f>IF(StudentData[[#This Row],[GradeDrop]]=1,50,0)</f>
        <v>50</v>
      </c>
      <c r="AN157">
        <f>0.4*StudentData[[#This Row],[FailureScore]]+0.3*StudentData[[#This Row],[AbsenceScore]]+0.2*StudentData[[#This Row],[StudyRisk]]+0.1*StudentData[[#This Row],[TrendRisk]]</f>
        <v>43</v>
      </c>
      <c r="AO157" t="str">
        <f>IF(StudentData[[#This Row],[RiskIndex]]&lt;=30,"Low",IF(StudentData[[#This Row],[RiskIndex]]&lt;=60,"Medium","High"))</f>
        <v>Medium</v>
      </c>
      <c r="AP157">
        <f>StudentData[[#This Row],[G3]]+('Intervention Simulator'!$C$2*1.5)</f>
        <v>6</v>
      </c>
      <c r="AQ157" t="str">
        <f>IF(StudentData[[#This Row],[ProjectedGrade]]&gt;=10,"Pass","Fail")</f>
        <v>Fail</v>
      </c>
    </row>
    <row r="158" spans="1:43" x14ac:dyDescent="0.3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  <c r="AH158" t="str">
        <f>IF(StudentData[[#This Row],[G3]]&gt;=10,"Pass","Fail")</f>
        <v>Pass</v>
      </c>
      <c r="AI158">
        <f>IF(StudentData[[#This Row],[G3]]&lt;StudentData[[#This Row],[G2]],1,0)</f>
        <v>0</v>
      </c>
      <c r="AJ158">
        <f>IF(StudentData[[#This Row],[failures]]&gt;=2,100,IF(StudentData[[#This Row],[failures]]=1,60,0))</f>
        <v>0</v>
      </c>
      <c r="AK158">
        <f>IF(StudentData[[#This Row],[absences]]&gt;15,80,IF(StudentData[[#This Row],[absences]]&gt;10,50,0))</f>
        <v>0</v>
      </c>
      <c r="AL158">
        <f>IF(StudentData[[#This Row],[studytime]]=1,70,IF(StudentData[[#This Row],[studytime]]=2,40,0))</f>
        <v>40</v>
      </c>
      <c r="AM158">
        <f>IF(StudentData[[#This Row],[GradeDrop]]=1,50,0)</f>
        <v>0</v>
      </c>
      <c r="AN158">
        <f>0.4*StudentData[[#This Row],[FailureScore]]+0.3*StudentData[[#This Row],[AbsenceScore]]+0.2*StudentData[[#This Row],[StudyRisk]]+0.1*StudentData[[#This Row],[TrendRisk]]</f>
        <v>8</v>
      </c>
      <c r="AO158" t="str">
        <f>IF(StudentData[[#This Row],[RiskIndex]]&lt;=30,"Low",IF(StudentData[[#This Row],[RiskIndex]]&lt;=60,"Medium","High"))</f>
        <v>Low</v>
      </c>
      <c r="AP158">
        <f>StudentData[[#This Row],[G3]]+('Intervention Simulator'!$C$2*1.5)</f>
        <v>12</v>
      </c>
      <c r="AQ158" t="str">
        <f>IF(StudentData[[#This Row],[ProjectedGrade]]&gt;=10,"Pass","Fail")</f>
        <v>Pass</v>
      </c>
    </row>
    <row r="159" spans="1:43" x14ac:dyDescent="0.3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  <c r="AH159" t="str">
        <f>IF(StudentData[[#This Row],[G3]]&gt;=10,"Pass","Fail")</f>
        <v>Pass</v>
      </c>
      <c r="AI159">
        <f>IF(StudentData[[#This Row],[G3]]&lt;StudentData[[#This Row],[G2]],1,0)</f>
        <v>0</v>
      </c>
      <c r="AJ159">
        <f>IF(StudentData[[#This Row],[failures]]&gt;=2,100,IF(StudentData[[#This Row],[failures]]=1,60,0))</f>
        <v>0</v>
      </c>
      <c r="AK159">
        <f>IF(StudentData[[#This Row],[absences]]&gt;15,80,IF(StudentData[[#This Row],[absences]]&gt;10,50,0))</f>
        <v>0</v>
      </c>
      <c r="AL159">
        <f>IF(StudentData[[#This Row],[studytime]]=1,70,IF(StudentData[[#This Row],[studytime]]=2,40,0))</f>
        <v>70</v>
      </c>
      <c r="AM159">
        <f>IF(StudentData[[#This Row],[GradeDrop]]=1,50,0)</f>
        <v>0</v>
      </c>
      <c r="AN159">
        <f>0.4*StudentData[[#This Row],[FailureScore]]+0.3*StudentData[[#This Row],[AbsenceScore]]+0.2*StudentData[[#This Row],[StudyRisk]]+0.1*StudentData[[#This Row],[TrendRisk]]</f>
        <v>14</v>
      </c>
      <c r="AO159" t="str">
        <f>IF(StudentData[[#This Row],[RiskIndex]]&lt;=30,"Low",IF(StudentData[[#This Row],[RiskIndex]]&lt;=60,"Medium","High"))</f>
        <v>Low</v>
      </c>
      <c r="AP159">
        <f>StudentData[[#This Row],[G3]]+('Intervention Simulator'!$C$2*1.5)</f>
        <v>10</v>
      </c>
      <c r="AQ159" t="str">
        <f>IF(StudentData[[#This Row],[ProjectedGrade]]&gt;=10,"Pass","Fail")</f>
        <v>Pass</v>
      </c>
    </row>
    <row r="160" spans="1:43" x14ac:dyDescent="0.3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  <c r="AH160" t="str">
        <f>IF(StudentData[[#This Row],[G3]]&gt;=10,"Pass","Fail")</f>
        <v>Pass</v>
      </c>
      <c r="AI160">
        <f>IF(StudentData[[#This Row],[G3]]&lt;StudentData[[#This Row],[G2]],1,0)</f>
        <v>0</v>
      </c>
      <c r="AJ160">
        <f>IF(StudentData[[#This Row],[failures]]&gt;=2,100,IF(StudentData[[#This Row],[failures]]=1,60,0))</f>
        <v>60</v>
      </c>
      <c r="AK160">
        <f>IF(StudentData[[#This Row],[absences]]&gt;15,80,IF(StudentData[[#This Row],[absences]]&gt;10,50,0))</f>
        <v>0</v>
      </c>
      <c r="AL160">
        <f>IF(StudentData[[#This Row],[studytime]]=1,70,IF(StudentData[[#This Row],[studytime]]=2,40,0))</f>
        <v>40</v>
      </c>
      <c r="AM160">
        <f>IF(StudentData[[#This Row],[GradeDrop]]=1,50,0)</f>
        <v>0</v>
      </c>
      <c r="AN160">
        <f>0.4*StudentData[[#This Row],[FailureScore]]+0.3*StudentData[[#This Row],[AbsenceScore]]+0.2*StudentData[[#This Row],[StudyRisk]]+0.1*StudentData[[#This Row],[TrendRisk]]</f>
        <v>32</v>
      </c>
      <c r="AO160" t="str">
        <f>IF(StudentData[[#This Row],[RiskIndex]]&lt;=30,"Low",IF(StudentData[[#This Row],[RiskIndex]]&lt;=60,"Medium","High"))</f>
        <v>Medium</v>
      </c>
      <c r="AP160">
        <f>StudentData[[#This Row],[G3]]+('Intervention Simulator'!$C$2*1.5)</f>
        <v>11</v>
      </c>
      <c r="AQ160" t="str">
        <f>IF(StudentData[[#This Row],[ProjectedGrade]]&gt;=10,"Pass","Fail")</f>
        <v>Pass</v>
      </c>
    </row>
    <row r="161" spans="1:43" x14ac:dyDescent="0.3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  <c r="AH161" t="str">
        <f>IF(StudentData[[#This Row],[G3]]&gt;=10,"Pass","Fail")</f>
        <v>Pass</v>
      </c>
      <c r="AI161">
        <f>IF(StudentData[[#This Row],[G3]]&lt;StudentData[[#This Row],[G2]],1,0)</f>
        <v>0</v>
      </c>
      <c r="AJ161">
        <f>IF(StudentData[[#This Row],[failures]]&gt;=2,100,IF(StudentData[[#This Row],[failures]]=1,60,0))</f>
        <v>0</v>
      </c>
      <c r="AK161">
        <f>IF(StudentData[[#This Row],[absences]]&gt;15,80,IF(StudentData[[#This Row],[absences]]&gt;10,50,0))</f>
        <v>0</v>
      </c>
      <c r="AL161">
        <f>IF(StudentData[[#This Row],[studytime]]=1,70,IF(StudentData[[#This Row],[studytime]]=2,40,0))</f>
        <v>40</v>
      </c>
      <c r="AM161">
        <f>IF(StudentData[[#This Row],[GradeDrop]]=1,50,0)</f>
        <v>0</v>
      </c>
      <c r="AN161">
        <f>0.4*StudentData[[#This Row],[FailureScore]]+0.3*StudentData[[#This Row],[AbsenceScore]]+0.2*StudentData[[#This Row],[StudyRisk]]+0.1*StudentData[[#This Row],[TrendRisk]]</f>
        <v>8</v>
      </c>
      <c r="AO161" t="str">
        <f>IF(StudentData[[#This Row],[RiskIndex]]&lt;=30,"Low",IF(StudentData[[#This Row],[RiskIndex]]&lt;=60,"Medium","High"))</f>
        <v>Low</v>
      </c>
      <c r="AP161">
        <f>StudentData[[#This Row],[G3]]+('Intervention Simulator'!$C$2*1.5)</f>
        <v>13</v>
      </c>
      <c r="AQ161" t="str">
        <f>IF(StudentData[[#This Row],[ProjectedGrade]]&gt;=10,"Pass","Fail")</f>
        <v>Pass</v>
      </c>
    </row>
    <row r="162" spans="1:43" x14ac:dyDescent="0.3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  <c r="AH162" t="str">
        <f>IF(StudentData[[#This Row],[G3]]&gt;=10,"Pass","Fail")</f>
        <v>Pass</v>
      </c>
      <c r="AI162">
        <f>IF(StudentData[[#This Row],[G3]]&lt;StudentData[[#This Row],[G2]],1,0)</f>
        <v>0</v>
      </c>
      <c r="AJ162">
        <f>IF(StudentData[[#This Row],[failures]]&gt;=2,100,IF(StudentData[[#This Row],[failures]]=1,60,0))</f>
        <v>0</v>
      </c>
      <c r="AK162">
        <f>IF(StudentData[[#This Row],[absences]]&gt;15,80,IF(StudentData[[#This Row],[absences]]&gt;10,50,0))</f>
        <v>0</v>
      </c>
      <c r="AL162">
        <f>IF(StudentData[[#This Row],[studytime]]=1,70,IF(StudentData[[#This Row],[studytime]]=2,40,0))</f>
        <v>40</v>
      </c>
      <c r="AM162">
        <f>IF(StudentData[[#This Row],[GradeDrop]]=1,50,0)</f>
        <v>0</v>
      </c>
      <c r="AN162">
        <f>0.4*StudentData[[#This Row],[FailureScore]]+0.3*StudentData[[#This Row],[AbsenceScore]]+0.2*StudentData[[#This Row],[StudyRisk]]+0.1*StudentData[[#This Row],[TrendRisk]]</f>
        <v>8</v>
      </c>
      <c r="AO162" t="str">
        <f>IF(StudentData[[#This Row],[RiskIndex]]&lt;=30,"Low",IF(StudentData[[#This Row],[RiskIndex]]&lt;=60,"Medium","High"))</f>
        <v>Low</v>
      </c>
      <c r="AP162">
        <f>StudentData[[#This Row],[G3]]+('Intervention Simulator'!$C$2*1.5)</f>
        <v>11</v>
      </c>
      <c r="AQ162" t="str">
        <f>IF(StudentData[[#This Row],[ProjectedGrade]]&gt;=10,"Pass","Fail")</f>
        <v>Pass</v>
      </c>
    </row>
    <row r="163" spans="1:43" x14ac:dyDescent="0.3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  <c r="AH163" t="str">
        <f>IF(StudentData[[#This Row],[G3]]&gt;=10,"Pass","Fail")</f>
        <v>Fail</v>
      </c>
      <c r="AI163">
        <f>IF(StudentData[[#This Row],[G3]]&lt;StudentData[[#This Row],[G2]],1,0)</f>
        <v>1</v>
      </c>
      <c r="AJ163">
        <f>IF(StudentData[[#This Row],[failures]]&gt;=2,100,IF(StudentData[[#This Row],[failures]]=1,60,0))</f>
        <v>0</v>
      </c>
      <c r="AK163">
        <f>IF(StudentData[[#This Row],[absences]]&gt;15,80,IF(StudentData[[#This Row],[absences]]&gt;10,50,0))</f>
        <v>80</v>
      </c>
      <c r="AL163">
        <f>IF(StudentData[[#This Row],[studytime]]=1,70,IF(StudentData[[#This Row],[studytime]]=2,40,0))</f>
        <v>70</v>
      </c>
      <c r="AM163">
        <f>IF(StudentData[[#This Row],[GradeDrop]]=1,50,0)</f>
        <v>50</v>
      </c>
      <c r="AN163">
        <f>0.4*StudentData[[#This Row],[FailureScore]]+0.3*StudentData[[#This Row],[AbsenceScore]]+0.2*StudentData[[#This Row],[StudyRisk]]+0.1*StudentData[[#This Row],[TrendRisk]]</f>
        <v>43</v>
      </c>
      <c r="AO163" t="str">
        <f>IF(StudentData[[#This Row],[RiskIndex]]&lt;=30,"Low",IF(StudentData[[#This Row],[RiskIndex]]&lt;=60,"Medium","High"))</f>
        <v>Medium</v>
      </c>
      <c r="AP163">
        <f>StudentData[[#This Row],[G3]]+('Intervention Simulator'!$C$2*1.5)</f>
        <v>8</v>
      </c>
      <c r="AQ163" t="str">
        <f>IF(StudentData[[#This Row],[ProjectedGrade]]&gt;=10,"Pass","Fail")</f>
        <v>Fail</v>
      </c>
    </row>
    <row r="164" spans="1:43" x14ac:dyDescent="0.3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  <c r="AH164" t="str">
        <f>IF(StudentData[[#This Row],[G3]]&gt;=10,"Pass","Fail")</f>
        <v>Pass</v>
      </c>
      <c r="AI164">
        <f>IF(StudentData[[#This Row],[G3]]&lt;StudentData[[#This Row],[G2]],1,0)</f>
        <v>0</v>
      </c>
      <c r="AJ164">
        <f>IF(StudentData[[#This Row],[failures]]&gt;=2,100,IF(StudentData[[#This Row],[failures]]=1,60,0))</f>
        <v>0</v>
      </c>
      <c r="AK164">
        <f>IF(StudentData[[#This Row],[absences]]&gt;15,80,IF(StudentData[[#This Row],[absences]]&gt;10,50,0))</f>
        <v>0</v>
      </c>
      <c r="AL164">
        <f>IF(StudentData[[#This Row],[studytime]]=1,70,IF(StudentData[[#This Row],[studytime]]=2,40,0))</f>
        <v>70</v>
      </c>
      <c r="AM164">
        <f>IF(StudentData[[#This Row],[GradeDrop]]=1,50,0)</f>
        <v>0</v>
      </c>
      <c r="AN164">
        <f>0.4*StudentData[[#This Row],[FailureScore]]+0.3*StudentData[[#This Row],[AbsenceScore]]+0.2*StudentData[[#This Row],[StudyRisk]]+0.1*StudentData[[#This Row],[TrendRisk]]</f>
        <v>14</v>
      </c>
      <c r="AO164" t="str">
        <f>IF(StudentData[[#This Row],[RiskIndex]]&lt;=30,"Low",IF(StudentData[[#This Row],[RiskIndex]]&lt;=60,"Medium","High"))</f>
        <v>Low</v>
      </c>
      <c r="AP164">
        <f>StudentData[[#This Row],[G3]]+('Intervention Simulator'!$C$2*1.5)</f>
        <v>11</v>
      </c>
      <c r="AQ164" t="str">
        <f>IF(StudentData[[#This Row],[ProjectedGrade]]&gt;=10,"Pass","Fail")</f>
        <v>Pass</v>
      </c>
    </row>
    <row r="165" spans="1:43" x14ac:dyDescent="0.3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  <c r="AH165" t="str">
        <f>IF(StudentData[[#This Row],[G3]]&gt;=10,"Pass","Fail")</f>
        <v>Fail</v>
      </c>
      <c r="AI165">
        <f>IF(StudentData[[#This Row],[G3]]&lt;StudentData[[#This Row],[G2]],1,0)</f>
        <v>1</v>
      </c>
      <c r="AJ165">
        <f>IF(StudentData[[#This Row],[failures]]&gt;=2,100,IF(StudentData[[#This Row],[failures]]=1,60,0))</f>
        <v>100</v>
      </c>
      <c r="AK165">
        <f>IF(StudentData[[#This Row],[absences]]&gt;15,80,IF(StudentData[[#This Row],[absences]]&gt;10,50,0))</f>
        <v>0</v>
      </c>
      <c r="AL165">
        <f>IF(StudentData[[#This Row],[studytime]]=1,70,IF(StudentData[[#This Row],[studytime]]=2,40,0))</f>
        <v>70</v>
      </c>
      <c r="AM165">
        <f>IF(StudentData[[#This Row],[GradeDrop]]=1,50,0)</f>
        <v>50</v>
      </c>
      <c r="AN165">
        <f>0.4*StudentData[[#This Row],[FailureScore]]+0.3*StudentData[[#This Row],[AbsenceScore]]+0.2*StudentData[[#This Row],[StudyRisk]]+0.1*StudentData[[#This Row],[TrendRisk]]</f>
        <v>59</v>
      </c>
      <c r="AO165" t="str">
        <f>IF(StudentData[[#This Row],[RiskIndex]]&lt;=30,"Low",IF(StudentData[[#This Row],[RiskIndex]]&lt;=60,"Medium","High"))</f>
        <v>Medium</v>
      </c>
      <c r="AP165">
        <f>StudentData[[#This Row],[G3]]+('Intervention Simulator'!$C$2*1.5)</f>
        <v>0</v>
      </c>
      <c r="AQ165" t="str">
        <f>IF(StudentData[[#This Row],[ProjectedGrade]]&gt;=10,"Pass","Fail")</f>
        <v>Fail</v>
      </c>
    </row>
    <row r="166" spans="1:43" x14ac:dyDescent="0.3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  <c r="AH166" t="str">
        <f>IF(StudentData[[#This Row],[G3]]&gt;=10,"Pass","Fail")</f>
        <v>Pass</v>
      </c>
      <c r="AI166">
        <f>IF(StudentData[[#This Row],[G3]]&lt;StudentData[[#This Row],[G2]],1,0)</f>
        <v>0</v>
      </c>
      <c r="AJ166">
        <f>IF(StudentData[[#This Row],[failures]]&gt;=2,100,IF(StudentData[[#This Row],[failures]]=1,60,0))</f>
        <v>60</v>
      </c>
      <c r="AK166">
        <f>IF(StudentData[[#This Row],[absences]]&gt;15,80,IF(StudentData[[#This Row],[absences]]&gt;10,50,0))</f>
        <v>0</v>
      </c>
      <c r="AL166">
        <f>IF(StudentData[[#This Row],[studytime]]=1,70,IF(StudentData[[#This Row],[studytime]]=2,40,0))</f>
        <v>70</v>
      </c>
      <c r="AM166">
        <f>IF(StudentData[[#This Row],[GradeDrop]]=1,50,0)</f>
        <v>0</v>
      </c>
      <c r="AN166">
        <f>0.4*StudentData[[#This Row],[FailureScore]]+0.3*StudentData[[#This Row],[AbsenceScore]]+0.2*StudentData[[#This Row],[StudyRisk]]+0.1*StudentData[[#This Row],[TrendRisk]]</f>
        <v>38</v>
      </c>
      <c r="AO166" t="str">
        <f>IF(StudentData[[#This Row],[RiskIndex]]&lt;=30,"Low",IF(StudentData[[#This Row],[RiskIndex]]&lt;=60,"Medium","High"))</f>
        <v>Medium</v>
      </c>
      <c r="AP166">
        <f>StudentData[[#This Row],[G3]]+('Intervention Simulator'!$C$2*1.5)</f>
        <v>10</v>
      </c>
      <c r="AQ166" t="str">
        <f>IF(StudentData[[#This Row],[ProjectedGrade]]&gt;=10,"Pass","Fail")</f>
        <v>Pass</v>
      </c>
    </row>
    <row r="167" spans="1:43" x14ac:dyDescent="0.3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  <c r="AH167" t="str">
        <f>IF(StudentData[[#This Row],[G3]]&gt;=10,"Pass","Fail")</f>
        <v>Pass</v>
      </c>
      <c r="AI167">
        <f>IF(StudentData[[#This Row],[G3]]&lt;StudentData[[#This Row],[G2]],1,0)</f>
        <v>0</v>
      </c>
      <c r="AJ167">
        <f>IF(StudentData[[#This Row],[failures]]&gt;=2,100,IF(StudentData[[#This Row],[failures]]=1,60,0))</f>
        <v>0</v>
      </c>
      <c r="AK167">
        <f>IF(StudentData[[#This Row],[absences]]&gt;15,80,IF(StudentData[[#This Row],[absences]]&gt;10,50,0))</f>
        <v>0</v>
      </c>
      <c r="AL167">
        <f>IF(StudentData[[#This Row],[studytime]]=1,70,IF(StudentData[[#This Row],[studytime]]=2,40,0))</f>
        <v>0</v>
      </c>
      <c r="AM167">
        <f>IF(StudentData[[#This Row],[GradeDrop]]=1,50,0)</f>
        <v>0</v>
      </c>
      <c r="AN167">
        <f>0.4*StudentData[[#This Row],[FailureScore]]+0.3*StudentData[[#This Row],[AbsenceScore]]+0.2*StudentData[[#This Row],[StudyRisk]]+0.1*StudentData[[#This Row],[TrendRisk]]</f>
        <v>0</v>
      </c>
      <c r="AO167" t="str">
        <f>IF(StudentData[[#This Row],[RiskIndex]]&lt;=30,"Low",IF(StudentData[[#This Row],[RiskIndex]]&lt;=60,"Medium","High"))</f>
        <v>Low</v>
      </c>
      <c r="AP167">
        <f>StudentData[[#This Row],[G3]]+('Intervention Simulator'!$C$2*1.5)</f>
        <v>13</v>
      </c>
      <c r="AQ167" t="str">
        <f>IF(StudentData[[#This Row],[ProjectedGrade]]&gt;=10,"Pass","Fail")</f>
        <v>Pass</v>
      </c>
    </row>
    <row r="168" spans="1:43" x14ac:dyDescent="0.3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  <c r="AH168" t="str">
        <f>IF(StudentData[[#This Row],[G3]]&gt;=10,"Pass","Fail")</f>
        <v>Pass</v>
      </c>
      <c r="AI168">
        <f>IF(StudentData[[#This Row],[G3]]&lt;StudentData[[#This Row],[G2]],1,0)</f>
        <v>0</v>
      </c>
      <c r="AJ168">
        <f>IF(StudentData[[#This Row],[failures]]&gt;=2,100,IF(StudentData[[#This Row],[failures]]=1,60,0))</f>
        <v>0</v>
      </c>
      <c r="AK168">
        <f>IF(StudentData[[#This Row],[absences]]&gt;15,80,IF(StudentData[[#This Row],[absences]]&gt;10,50,0))</f>
        <v>0</v>
      </c>
      <c r="AL168">
        <f>IF(StudentData[[#This Row],[studytime]]=1,70,IF(StudentData[[#This Row],[studytime]]=2,40,0))</f>
        <v>70</v>
      </c>
      <c r="AM168">
        <f>IF(StudentData[[#This Row],[GradeDrop]]=1,50,0)</f>
        <v>0</v>
      </c>
      <c r="AN168">
        <f>0.4*StudentData[[#This Row],[FailureScore]]+0.3*StudentData[[#This Row],[AbsenceScore]]+0.2*StudentData[[#This Row],[StudyRisk]]+0.1*StudentData[[#This Row],[TrendRisk]]</f>
        <v>14</v>
      </c>
      <c r="AO168" t="str">
        <f>IF(StudentData[[#This Row],[RiskIndex]]&lt;=30,"Low",IF(StudentData[[#This Row],[RiskIndex]]&lt;=60,"Medium","High"))</f>
        <v>Low</v>
      </c>
      <c r="AP168">
        <f>StudentData[[#This Row],[G3]]+('Intervention Simulator'!$C$2*1.5)</f>
        <v>11</v>
      </c>
      <c r="AQ168" t="str">
        <f>IF(StudentData[[#This Row],[ProjectedGrade]]&gt;=10,"Pass","Fail")</f>
        <v>Pass</v>
      </c>
    </row>
    <row r="169" spans="1:43" x14ac:dyDescent="0.3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  <c r="AH169" t="str">
        <f>IF(StudentData[[#This Row],[G3]]&gt;=10,"Pass","Fail")</f>
        <v>Pass</v>
      </c>
      <c r="AI169">
        <f>IF(StudentData[[#This Row],[G3]]&lt;StudentData[[#This Row],[G2]],1,0)</f>
        <v>0</v>
      </c>
      <c r="AJ169">
        <f>IF(StudentData[[#This Row],[failures]]&gt;=2,100,IF(StudentData[[#This Row],[failures]]=1,60,0))</f>
        <v>0</v>
      </c>
      <c r="AK169">
        <f>IF(StudentData[[#This Row],[absences]]&gt;15,80,IF(StudentData[[#This Row],[absences]]&gt;10,50,0))</f>
        <v>0</v>
      </c>
      <c r="AL169">
        <f>IF(StudentData[[#This Row],[studytime]]=1,70,IF(StudentData[[#This Row],[studytime]]=2,40,0))</f>
        <v>70</v>
      </c>
      <c r="AM169">
        <f>IF(StudentData[[#This Row],[GradeDrop]]=1,50,0)</f>
        <v>0</v>
      </c>
      <c r="AN169">
        <f>0.4*StudentData[[#This Row],[FailureScore]]+0.3*StudentData[[#This Row],[AbsenceScore]]+0.2*StudentData[[#This Row],[StudyRisk]]+0.1*StudentData[[#This Row],[TrendRisk]]</f>
        <v>14</v>
      </c>
      <c r="AO169" t="str">
        <f>IF(StudentData[[#This Row],[RiskIndex]]&lt;=30,"Low",IF(StudentData[[#This Row],[RiskIndex]]&lt;=60,"Medium","High"))</f>
        <v>Low</v>
      </c>
      <c r="AP169">
        <f>StudentData[[#This Row],[G3]]+('Intervention Simulator'!$C$2*1.5)</f>
        <v>13</v>
      </c>
      <c r="AQ169" t="str">
        <f>IF(StudentData[[#This Row],[ProjectedGrade]]&gt;=10,"Pass","Fail")</f>
        <v>Pass</v>
      </c>
    </row>
    <row r="170" spans="1:43" x14ac:dyDescent="0.3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  <c r="AH170" t="str">
        <f>IF(StudentData[[#This Row],[G3]]&gt;=10,"Pass","Fail")</f>
        <v>Fail</v>
      </c>
      <c r="AI170">
        <f>IF(StudentData[[#This Row],[G3]]&lt;StudentData[[#This Row],[G2]],1,0)</f>
        <v>0</v>
      </c>
      <c r="AJ170">
        <f>IF(StudentData[[#This Row],[failures]]&gt;=2,100,IF(StudentData[[#This Row],[failures]]=1,60,0))</f>
        <v>0</v>
      </c>
      <c r="AK170">
        <f>IF(StudentData[[#This Row],[absences]]&gt;15,80,IF(StudentData[[#This Row],[absences]]&gt;10,50,0))</f>
        <v>0</v>
      </c>
      <c r="AL170">
        <f>IF(StudentData[[#This Row],[studytime]]=1,70,IF(StudentData[[#This Row],[studytime]]=2,40,0))</f>
        <v>40</v>
      </c>
      <c r="AM170">
        <f>IF(StudentData[[#This Row],[GradeDrop]]=1,50,0)</f>
        <v>0</v>
      </c>
      <c r="AN170">
        <f>0.4*StudentData[[#This Row],[FailureScore]]+0.3*StudentData[[#This Row],[AbsenceScore]]+0.2*StudentData[[#This Row],[StudyRisk]]+0.1*StudentData[[#This Row],[TrendRisk]]</f>
        <v>8</v>
      </c>
      <c r="AO170" t="str">
        <f>IF(StudentData[[#This Row],[RiskIndex]]&lt;=30,"Low",IF(StudentData[[#This Row],[RiskIndex]]&lt;=60,"Medium","High"))</f>
        <v>Low</v>
      </c>
      <c r="AP170">
        <f>StudentData[[#This Row],[G3]]+('Intervention Simulator'!$C$2*1.5)</f>
        <v>8</v>
      </c>
      <c r="AQ170" t="str">
        <f>IF(StudentData[[#This Row],[ProjectedGrade]]&gt;=10,"Pass","Fail")</f>
        <v>Fail</v>
      </c>
    </row>
    <row r="171" spans="1:43" x14ac:dyDescent="0.3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  <c r="AH171" t="str">
        <f>IF(StudentData[[#This Row],[G3]]&gt;=10,"Pass","Fail")</f>
        <v>Pass</v>
      </c>
      <c r="AI171">
        <f>IF(StudentData[[#This Row],[G3]]&lt;StudentData[[#This Row],[G2]],1,0)</f>
        <v>0</v>
      </c>
      <c r="AJ171">
        <f>IF(StudentData[[#This Row],[failures]]&gt;=2,100,IF(StudentData[[#This Row],[failures]]=1,60,0))</f>
        <v>100</v>
      </c>
      <c r="AK171">
        <f>IF(StudentData[[#This Row],[absences]]&gt;15,80,IF(StudentData[[#This Row],[absences]]&gt;10,50,0))</f>
        <v>50</v>
      </c>
      <c r="AL171">
        <f>IF(StudentData[[#This Row],[studytime]]=1,70,IF(StudentData[[#This Row],[studytime]]=2,40,0))</f>
        <v>70</v>
      </c>
      <c r="AM171">
        <f>IF(StudentData[[#This Row],[GradeDrop]]=1,50,0)</f>
        <v>0</v>
      </c>
      <c r="AN171">
        <f>0.4*StudentData[[#This Row],[FailureScore]]+0.3*StudentData[[#This Row],[AbsenceScore]]+0.2*StudentData[[#This Row],[StudyRisk]]+0.1*StudentData[[#This Row],[TrendRisk]]</f>
        <v>69</v>
      </c>
      <c r="AO171" t="str">
        <f>IF(StudentData[[#This Row],[RiskIndex]]&lt;=30,"Low",IF(StudentData[[#This Row],[RiskIndex]]&lt;=60,"Medium","High"))</f>
        <v>High</v>
      </c>
      <c r="AP171">
        <f>StudentData[[#This Row],[G3]]+('Intervention Simulator'!$C$2*1.5)</f>
        <v>10</v>
      </c>
      <c r="AQ171" t="str">
        <f>IF(StudentData[[#This Row],[ProjectedGrade]]&gt;=10,"Pass","Fail")</f>
        <v>Pass</v>
      </c>
    </row>
    <row r="172" spans="1:43" x14ac:dyDescent="0.3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  <c r="AH172" t="str">
        <f>IF(StudentData[[#This Row],[G3]]&gt;=10,"Pass","Fail")</f>
        <v>Pass</v>
      </c>
      <c r="AI172">
        <f>IF(StudentData[[#This Row],[G3]]&lt;StudentData[[#This Row],[G2]],1,0)</f>
        <v>0</v>
      </c>
      <c r="AJ172">
        <f>IF(StudentData[[#This Row],[failures]]&gt;=2,100,IF(StudentData[[#This Row],[failures]]=1,60,0))</f>
        <v>100</v>
      </c>
      <c r="AK172">
        <f>IF(StudentData[[#This Row],[absences]]&gt;15,80,IF(StudentData[[#This Row],[absences]]&gt;10,50,0))</f>
        <v>0</v>
      </c>
      <c r="AL172">
        <f>IF(StudentData[[#This Row],[studytime]]=1,70,IF(StudentData[[#This Row],[studytime]]=2,40,0))</f>
        <v>70</v>
      </c>
      <c r="AM172">
        <f>IF(StudentData[[#This Row],[GradeDrop]]=1,50,0)</f>
        <v>0</v>
      </c>
      <c r="AN172">
        <f>0.4*StudentData[[#This Row],[FailureScore]]+0.3*StudentData[[#This Row],[AbsenceScore]]+0.2*StudentData[[#This Row],[StudyRisk]]+0.1*StudentData[[#This Row],[TrendRisk]]</f>
        <v>54</v>
      </c>
      <c r="AO172" t="str">
        <f>IF(StudentData[[#This Row],[RiskIndex]]&lt;=30,"Low",IF(StudentData[[#This Row],[RiskIndex]]&lt;=60,"Medium","High"))</f>
        <v>Medium</v>
      </c>
      <c r="AP172">
        <f>StudentData[[#This Row],[G3]]+('Intervention Simulator'!$C$2*1.5)</f>
        <v>11</v>
      </c>
      <c r="AQ172" t="str">
        <f>IF(StudentData[[#This Row],[ProjectedGrade]]&gt;=10,"Pass","Fail")</f>
        <v>Pass</v>
      </c>
    </row>
    <row r="173" spans="1:43" x14ac:dyDescent="0.3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  <c r="AH173" t="str">
        <f>IF(StudentData[[#This Row],[G3]]&gt;=10,"Pass","Fail")</f>
        <v>Pass</v>
      </c>
      <c r="AI173">
        <f>IF(StudentData[[#This Row],[G3]]&lt;StudentData[[#This Row],[G2]],1,0)</f>
        <v>0</v>
      </c>
      <c r="AJ173">
        <f>IF(StudentData[[#This Row],[failures]]&gt;=2,100,IF(StudentData[[#This Row],[failures]]=1,60,0))</f>
        <v>0</v>
      </c>
      <c r="AK173">
        <f>IF(StudentData[[#This Row],[absences]]&gt;15,80,IF(StudentData[[#This Row],[absences]]&gt;10,50,0))</f>
        <v>0</v>
      </c>
      <c r="AL173">
        <f>IF(StudentData[[#This Row],[studytime]]=1,70,IF(StudentData[[#This Row],[studytime]]=2,40,0))</f>
        <v>70</v>
      </c>
      <c r="AM173">
        <f>IF(StudentData[[#This Row],[GradeDrop]]=1,50,0)</f>
        <v>0</v>
      </c>
      <c r="AN173">
        <f>0.4*StudentData[[#This Row],[FailureScore]]+0.3*StudentData[[#This Row],[AbsenceScore]]+0.2*StudentData[[#This Row],[StudyRisk]]+0.1*StudentData[[#This Row],[TrendRisk]]</f>
        <v>14</v>
      </c>
      <c r="AO173" t="str">
        <f>IF(StudentData[[#This Row],[RiskIndex]]&lt;=30,"Low",IF(StudentData[[#This Row],[RiskIndex]]&lt;=60,"Medium","High"))</f>
        <v>Low</v>
      </c>
      <c r="AP173">
        <f>StudentData[[#This Row],[G3]]+('Intervention Simulator'!$C$2*1.5)</f>
        <v>11</v>
      </c>
      <c r="AQ173" t="str">
        <f>IF(StudentData[[#This Row],[ProjectedGrade]]&gt;=10,"Pass","Fail")</f>
        <v>Pass</v>
      </c>
    </row>
    <row r="174" spans="1:43" x14ac:dyDescent="0.3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  <c r="AH174" t="str">
        <f>IF(StudentData[[#This Row],[G3]]&gt;=10,"Pass","Fail")</f>
        <v>Fail</v>
      </c>
      <c r="AI174">
        <f>IF(StudentData[[#This Row],[G3]]&lt;StudentData[[#This Row],[G2]],1,0)</f>
        <v>1</v>
      </c>
      <c r="AJ174">
        <f>IF(StudentData[[#This Row],[failures]]&gt;=2,100,IF(StudentData[[#This Row],[failures]]=1,60,0))</f>
        <v>60</v>
      </c>
      <c r="AK174">
        <f>IF(StudentData[[#This Row],[absences]]&gt;15,80,IF(StudentData[[#This Row],[absences]]&gt;10,50,0))</f>
        <v>0</v>
      </c>
      <c r="AL174">
        <f>IF(StudentData[[#This Row],[studytime]]=1,70,IF(StudentData[[#This Row],[studytime]]=2,40,0))</f>
        <v>40</v>
      </c>
      <c r="AM174">
        <f>IF(StudentData[[#This Row],[GradeDrop]]=1,50,0)</f>
        <v>50</v>
      </c>
      <c r="AN174">
        <f>0.4*StudentData[[#This Row],[FailureScore]]+0.3*StudentData[[#This Row],[AbsenceScore]]+0.2*StudentData[[#This Row],[StudyRisk]]+0.1*StudentData[[#This Row],[TrendRisk]]</f>
        <v>37</v>
      </c>
      <c r="AO174" t="str">
        <f>IF(StudentData[[#This Row],[RiskIndex]]&lt;=30,"Low",IF(StudentData[[#This Row],[RiskIndex]]&lt;=60,"Medium","High"))</f>
        <v>Medium</v>
      </c>
      <c r="AP174">
        <f>StudentData[[#This Row],[G3]]+('Intervention Simulator'!$C$2*1.5)</f>
        <v>1</v>
      </c>
      <c r="AQ174" t="str">
        <f>IF(StudentData[[#This Row],[ProjectedGrade]]&gt;=10,"Pass","Fail")</f>
        <v>Fail</v>
      </c>
    </row>
    <row r="175" spans="1:43" x14ac:dyDescent="0.3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  <c r="AH175" t="str">
        <f>IF(StudentData[[#This Row],[G3]]&gt;=10,"Pass","Fail")</f>
        <v>Pass</v>
      </c>
      <c r="AI175">
        <f>IF(StudentData[[#This Row],[G3]]&lt;StudentData[[#This Row],[G2]],1,0)</f>
        <v>0</v>
      </c>
      <c r="AJ175">
        <f>IF(StudentData[[#This Row],[failures]]&gt;=2,100,IF(StudentData[[#This Row],[failures]]=1,60,0))</f>
        <v>100</v>
      </c>
      <c r="AK175">
        <f>IF(StudentData[[#This Row],[absences]]&gt;15,80,IF(StudentData[[#This Row],[absences]]&gt;10,50,0))</f>
        <v>0</v>
      </c>
      <c r="AL175">
        <f>IF(StudentData[[#This Row],[studytime]]=1,70,IF(StudentData[[#This Row],[studytime]]=2,40,0))</f>
        <v>70</v>
      </c>
      <c r="AM175">
        <f>IF(StudentData[[#This Row],[GradeDrop]]=1,50,0)</f>
        <v>0</v>
      </c>
      <c r="AN175">
        <f>0.4*StudentData[[#This Row],[FailureScore]]+0.3*StudentData[[#This Row],[AbsenceScore]]+0.2*StudentData[[#This Row],[StudyRisk]]+0.1*StudentData[[#This Row],[TrendRisk]]</f>
        <v>54</v>
      </c>
      <c r="AO175" t="str">
        <f>IF(StudentData[[#This Row],[RiskIndex]]&lt;=30,"Low",IF(StudentData[[#This Row],[RiskIndex]]&lt;=60,"Medium","High"))</f>
        <v>Medium</v>
      </c>
      <c r="AP175">
        <f>StudentData[[#This Row],[G3]]+('Intervention Simulator'!$C$2*1.5)</f>
        <v>10</v>
      </c>
      <c r="AQ175" t="str">
        <f>IF(StudentData[[#This Row],[ProjectedGrade]]&gt;=10,"Pass","Fail")</f>
        <v>Pass</v>
      </c>
    </row>
    <row r="176" spans="1:43" x14ac:dyDescent="0.3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  <c r="AH176" t="str">
        <f>IF(StudentData[[#This Row],[G3]]&gt;=10,"Pass","Fail")</f>
        <v>Fail</v>
      </c>
      <c r="AI176">
        <f>IF(StudentData[[#This Row],[G3]]&lt;StudentData[[#This Row],[G2]],1,0)</f>
        <v>0</v>
      </c>
      <c r="AJ176">
        <f>IF(StudentData[[#This Row],[failures]]&gt;=2,100,IF(StudentData[[#This Row],[failures]]=1,60,0))</f>
        <v>60</v>
      </c>
      <c r="AK176">
        <f>IF(StudentData[[#This Row],[absences]]&gt;15,80,IF(StudentData[[#This Row],[absences]]&gt;10,50,0))</f>
        <v>0</v>
      </c>
      <c r="AL176">
        <f>IF(StudentData[[#This Row],[studytime]]=1,70,IF(StudentData[[#This Row],[studytime]]=2,40,0))</f>
        <v>70</v>
      </c>
      <c r="AM176">
        <f>IF(StudentData[[#This Row],[GradeDrop]]=1,50,0)</f>
        <v>0</v>
      </c>
      <c r="AN176">
        <f>0.4*StudentData[[#This Row],[FailureScore]]+0.3*StudentData[[#This Row],[AbsenceScore]]+0.2*StudentData[[#This Row],[StudyRisk]]+0.1*StudentData[[#This Row],[TrendRisk]]</f>
        <v>38</v>
      </c>
      <c r="AO176" t="str">
        <f>IF(StudentData[[#This Row],[RiskIndex]]&lt;=30,"Low",IF(StudentData[[#This Row],[RiskIndex]]&lt;=60,"Medium","High"))</f>
        <v>Medium</v>
      </c>
      <c r="AP176">
        <f>StudentData[[#This Row],[G3]]+('Intervention Simulator'!$C$2*1.5)</f>
        <v>9</v>
      </c>
      <c r="AQ176" t="str">
        <f>IF(StudentData[[#This Row],[ProjectedGrade]]&gt;=10,"Pass","Fail")</f>
        <v>Fail</v>
      </c>
    </row>
    <row r="177" spans="1:43" x14ac:dyDescent="0.3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  <c r="AH177" t="str">
        <f>IF(StudentData[[#This Row],[G3]]&gt;=10,"Pass","Fail")</f>
        <v>Fail</v>
      </c>
      <c r="AI177">
        <f>IF(StudentData[[#This Row],[G3]]&lt;StudentData[[#This Row],[G2]],1,0)</f>
        <v>0</v>
      </c>
      <c r="AJ177">
        <f>IF(StudentData[[#This Row],[failures]]&gt;=2,100,IF(StudentData[[#This Row],[failures]]=1,60,0))</f>
        <v>100</v>
      </c>
      <c r="AK177">
        <f>IF(StudentData[[#This Row],[absences]]&gt;15,80,IF(StudentData[[#This Row],[absences]]&gt;10,50,0))</f>
        <v>0</v>
      </c>
      <c r="AL177">
        <f>IF(StudentData[[#This Row],[studytime]]=1,70,IF(StudentData[[#This Row],[studytime]]=2,40,0))</f>
        <v>40</v>
      </c>
      <c r="AM177">
        <f>IF(StudentData[[#This Row],[GradeDrop]]=1,50,0)</f>
        <v>0</v>
      </c>
      <c r="AN177">
        <f>0.4*StudentData[[#This Row],[FailureScore]]+0.3*StudentData[[#This Row],[AbsenceScore]]+0.2*StudentData[[#This Row],[StudyRisk]]+0.1*StudentData[[#This Row],[TrendRisk]]</f>
        <v>48</v>
      </c>
      <c r="AO177" t="str">
        <f>IF(StudentData[[#This Row],[RiskIndex]]&lt;=30,"Low",IF(StudentData[[#This Row],[RiskIndex]]&lt;=60,"Medium","High"))</f>
        <v>Medium</v>
      </c>
      <c r="AP177">
        <f>StudentData[[#This Row],[G3]]+('Intervention Simulator'!$C$2*1.5)</f>
        <v>8</v>
      </c>
      <c r="AQ177" t="str">
        <f>IF(StudentData[[#This Row],[ProjectedGrade]]&gt;=10,"Pass","Fail")</f>
        <v>Fail</v>
      </c>
    </row>
    <row r="178" spans="1:43" x14ac:dyDescent="0.3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  <c r="AH178" t="str">
        <f>IF(StudentData[[#This Row],[G3]]&gt;=10,"Pass","Fail")</f>
        <v>Pass</v>
      </c>
      <c r="AI178">
        <f>IF(StudentData[[#This Row],[G3]]&lt;StudentData[[#This Row],[G2]],1,0)</f>
        <v>0</v>
      </c>
      <c r="AJ178">
        <f>IF(StudentData[[#This Row],[failures]]&gt;=2,100,IF(StudentData[[#This Row],[failures]]=1,60,0))</f>
        <v>0</v>
      </c>
      <c r="AK178">
        <f>IF(StudentData[[#This Row],[absences]]&gt;15,80,IF(StudentData[[#This Row],[absences]]&gt;10,50,0))</f>
        <v>0</v>
      </c>
      <c r="AL178">
        <f>IF(StudentData[[#This Row],[studytime]]=1,70,IF(StudentData[[#This Row],[studytime]]=2,40,0))</f>
        <v>70</v>
      </c>
      <c r="AM178">
        <f>IF(StudentData[[#This Row],[GradeDrop]]=1,50,0)</f>
        <v>0</v>
      </c>
      <c r="AN178">
        <f>0.4*StudentData[[#This Row],[FailureScore]]+0.3*StudentData[[#This Row],[AbsenceScore]]+0.2*StudentData[[#This Row],[StudyRisk]]+0.1*StudentData[[#This Row],[TrendRisk]]</f>
        <v>14</v>
      </c>
      <c r="AO178" t="str">
        <f>IF(StudentData[[#This Row],[RiskIndex]]&lt;=30,"Low",IF(StudentData[[#This Row],[RiskIndex]]&lt;=60,"Medium","High"))</f>
        <v>Low</v>
      </c>
      <c r="AP178">
        <f>StudentData[[#This Row],[G3]]+('Intervention Simulator'!$C$2*1.5)</f>
        <v>10</v>
      </c>
      <c r="AQ178" t="str">
        <f>IF(StudentData[[#This Row],[ProjectedGrade]]&gt;=10,"Pass","Fail")</f>
        <v>Pass</v>
      </c>
    </row>
    <row r="179" spans="1:43" x14ac:dyDescent="0.3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  <c r="AH179" t="str">
        <f>IF(StudentData[[#This Row],[G3]]&gt;=10,"Pass","Fail")</f>
        <v>Fail</v>
      </c>
      <c r="AI179">
        <f>IF(StudentData[[#This Row],[G3]]&lt;StudentData[[#This Row],[G2]],1,0)</f>
        <v>0</v>
      </c>
      <c r="AJ179">
        <f>IF(StudentData[[#This Row],[failures]]&gt;=2,100,IF(StudentData[[#This Row],[failures]]=1,60,0))</f>
        <v>60</v>
      </c>
      <c r="AK179">
        <f>IF(StudentData[[#This Row],[absences]]&gt;15,80,IF(StudentData[[#This Row],[absences]]&gt;10,50,0))</f>
        <v>0</v>
      </c>
      <c r="AL179">
        <f>IF(StudentData[[#This Row],[studytime]]=1,70,IF(StudentData[[#This Row],[studytime]]=2,40,0))</f>
        <v>70</v>
      </c>
      <c r="AM179">
        <f>IF(StudentData[[#This Row],[GradeDrop]]=1,50,0)</f>
        <v>0</v>
      </c>
      <c r="AN179">
        <f>0.4*StudentData[[#This Row],[FailureScore]]+0.3*StudentData[[#This Row],[AbsenceScore]]+0.2*StudentData[[#This Row],[StudyRisk]]+0.1*StudentData[[#This Row],[TrendRisk]]</f>
        <v>38</v>
      </c>
      <c r="AO179" t="str">
        <f>IF(StudentData[[#This Row],[RiskIndex]]&lt;=30,"Low",IF(StudentData[[#This Row],[RiskIndex]]&lt;=60,"Medium","High"))</f>
        <v>Medium</v>
      </c>
      <c r="AP179">
        <f>StudentData[[#This Row],[G3]]+('Intervention Simulator'!$C$2*1.5)</f>
        <v>8</v>
      </c>
      <c r="AQ179" t="str">
        <f>IF(StudentData[[#This Row],[ProjectedGrade]]&gt;=10,"Pass","Fail")</f>
        <v>Fail</v>
      </c>
    </row>
    <row r="180" spans="1:43" x14ac:dyDescent="0.3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  <c r="AH180" t="str">
        <f>IF(StudentData[[#This Row],[G3]]&gt;=10,"Pass","Fail")</f>
        <v>Fail</v>
      </c>
      <c r="AI180">
        <f>IF(StudentData[[#This Row],[G3]]&lt;StudentData[[#This Row],[G2]],1,0)</f>
        <v>0</v>
      </c>
      <c r="AJ180">
        <f>IF(StudentData[[#This Row],[failures]]&gt;=2,100,IF(StudentData[[#This Row],[failures]]=1,60,0))</f>
        <v>0</v>
      </c>
      <c r="AK180">
        <f>IF(StudentData[[#This Row],[absences]]&gt;15,80,IF(StudentData[[#This Row],[absences]]&gt;10,50,0))</f>
        <v>0</v>
      </c>
      <c r="AL180">
        <f>IF(StudentData[[#This Row],[studytime]]=1,70,IF(StudentData[[#This Row],[studytime]]=2,40,0))</f>
        <v>40</v>
      </c>
      <c r="AM180">
        <f>IF(StudentData[[#This Row],[GradeDrop]]=1,50,0)</f>
        <v>0</v>
      </c>
      <c r="AN180">
        <f>0.4*StudentData[[#This Row],[FailureScore]]+0.3*StudentData[[#This Row],[AbsenceScore]]+0.2*StudentData[[#This Row],[StudyRisk]]+0.1*StudentData[[#This Row],[TrendRisk]]</f>
        <v>8</v>
      </c>
      <c r="AO180" t="str">
        <f>IF(StudentData[[#This Row],[RiskIndex]]&lt;=30,"Low",IF(StudentData[[#This Row],[RiskIndex]]&lt;=60,"Medium","High"))</f>
        <v>Low</v>
      </c>
      <c r="AP180">
        <f>StudentData[[#This Row],[G3]]+('Intervention Simulator'!$C$2*1.5)</f>
        <v>8</v>
      </c>
      <c r="AQ180" t="str">
        <f>IF(StudentData[[#This Row],[ProjectedGrade]]&gt;=10,"Pass","Fail")</f>
        <v>Fail</v>
      </c>
    </row>
    <row r="181" spans="1:4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  <c r="AH181" t="str">
        <f>IF(StudentData[[#This Row],[G3]]&gt;=10,"Pass","Fail")</f>
        <v>Fail</v>
      </c>
      <c r="AI181">
        <f>IF(StudentData[[#This Row],[G3]]&lt;StudentData[[#This Row],[G2]],1,0)</f>
        <v>0</v>
      </c>
      <c r="AJ181">
        <f>IF(StudentData[[#This Row],[failures]]&gt;=2,100,IF(StudentData[[#This Row],[failures]]=1,60,0))</f>
        <v>100</v>
      </c>
      <c r="AK181">
        <f>IF(StudentData[[#This Row],[absences]]&gt;15,80,IF(StudentData[[#This Row],[absences]]&gt;10,50,0))</f>
        <v>0</v>
      </c>
      <c r="AL181">
        <f>IF(StudentData[[#This Row],[studytime]]=1,70,IF(StudentData[[#This Row],[studytime]]=2,40,0))</f>
        <v>70</v>
      </c>
      <c r="AM181">
        <f>IF(StudentData[[#This Row],[GradeDrop]]=1,50,0)</f>
        <v>0</v>
      </c>
      <c r="AN181">
        <f>0.4*StudentData[[#This Row],[FailureScore]]+0.3*StudentData[[#This Row],[AbsenceScore]]+0.2*StudentData[[#This Row],[StudyRisk]]+0.1*StudentData[[#This Row],[TrendRisk]]</f>
        <v>54</v>
      </c>
      <c r="AO181" t="str">
        <f>IF(StudentData[[#This Row],[RiskIndex]]&lt;=30,"Low",IF(StudentData[[#This Row],[RiskIndex]]&lt;=60,"Medium","High"))</f>
        <v>Medium</v>
      </c>
      <c r="AP181">
        <f>StudentData[[#This Row],[G3]]+('Intervention Simulator'!$C$2*1.5)</f>
        <v>8</v>
      </c>
      <c r="AQ181" t="str">
        <f>IF(StudentData[[#This Row],[ProjectedGrade]]&gt;=10,"Pass","Fail")</f>
        <v>Fail</v>
      </c>
    </row>
    <row r="182" spans="1:4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  <c r="AH182" t="str">
        <f>IF(StudentData[[#This Row],[G3]]&gt;=10,"Pass","Fail")</f>
        <v>Pass</v>
      </c>
      <c r="AI182">
        <f>IF(StudentData[[#This Row],[G3]]&lt;StudentData[[#This Row],[G2]],1,0)</f>
        <v>0</v>
      </c>
      <c r="AJ182">
        <f>IF(StudentData[[#This Row],[failures]]&gt;=2,100,IF(StudentData[[#This Row],[failures]]=1,60,0))</f>
        <v>0</v>
      </c>
      <c r="AK182">
        <f>IF(StudentData[[#This Row],[absences]]&gt;15,80,IF(StudentData[[#This Row],[absences]]&gt;10,50,0))</f>
        <v>0</v>
      </c>
      <c r="AL182">
        <f>IF(StudentData[[#This Row],[studytime]]=1,70,IF(StudentData[[#This Row],[studytime]]=2,40,0))</f>
        <v>40</v>
      </c>
      <c r="AM182">
        <f>IF(StudentData[[#This Row],[GradeDrop]]=1,50,0)</f>
        <v>0</v>
      </c>
      <c r="AN182">
        <f>0.4*StudentData[[#This Row],[FailureScore]]+0.3*StudentData[[#This Row],[AbsenceScore]]+0.2*StudentData[[#This Row],[StudyRisk]]+0.1*StudentData[[#This Row],[TrendRisk]]</f>
        <v>8</v>
      </c>
      <c r="AO182" t="str">
        <f>IF(StudentData[[#This Row],[RiskIndex]]&lt;=30,"Low",IF(StudentData[[#This Row],[RiskIndex]]&lt;=60,"Medium","High"))</f>
        <v>Low</v>
      </c>
      <c r="AP182">
        <f>StudentData[[#This Row],[G3]]+('Intervention Simulator'!$C$2*1.5)</f>
        <v>11</v>
      </c>
      <c r="AQ182" t="str">
        <f>IF(StudentData[[#This Row],[ProjectedGrade]]&gt;=10,"Pass","Fail")</f>
        <v>Pass</v>
      </c>
    </row>
    <row r="183" spans="1:43" x14ac:dyDescent="0.3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  <c r="AH183" t="str">
        <f>IF(StudentData[[#This Row],[G3]]&gt;=10,"Pass","Fail")</f>
        <v>Pass</v>
      </c>
      <c r="AI183">
        <f>IF(StudentData[[#This Row],[G3]]&lt;StudentData[[#This Row],[G2]],1,0)</f>
        <v>0</v>
      </c>
      <c r="AJ183">
        <f>IF(StudentData[[#This Row],[failures]]&gt;=2,100,IF(StudentData[[#This Row],[failures]]=1,60,0))</f>
        <v>0</v>
      </c>
      <c r="AK183">
        <f>IF(StudentData[[#This Row],[absences]]&gt;15,80,IF(StudentData[[#This Row],[absences]]&gt;10,50,0))</f>
        <v>0</v>
      </c>
      <c r="AL183">
        <f>IF(StudentData[[#This Row],[studytime]]=1,70,IF(StudentData[[#This Row],[studytime]]=2,40,0))</f>
        <v>40</v>
      </c>
      <c r="AM183">
        <f>IF(StudentData[[#This Row],[GradeDrop]]=1,50,0)</f>
        <v>0</v>
      </c>
      <c r="AN183">
        <f>0.4*StudentData[[#This Row],[FailureScore]]+0.3*StudentData[[#This Row],[AbsenceScore]]+0.2*StudentData[[#This Row],[StudyRisk]]+0.1*StudentData[[#This Row],[TrendRisk]]</f>
        <v>8</v>
      </c>
      <c r="AO183" t="str">
        <f>IF(StudentData[[#This Row],[RiskIndex]]&lt;=30,"Low",IF(StudentData[[#This Row],[RiskIndex]]&lt;=60,"Medium","High"))</f>
        <v>Low</v>
      </c>
      <c r="AP183">
        <f>StudentData[[#This Row],[G3]]+('Intervention Simulator'!$C$2*1.5)</f>
        <v>18</v>
      </c>
      <c r="AQ183" t="str">
        <f>IF(StudentData[[#This Row],[ProjectedGrade]]&gt;=10,"Pass","Fail")</f>
        <v>Pass</v>
      </c>
    </row>
    <row r="184" spans="1:43" x14ac:dyDescent="0.3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  <c r="AH184" t="str">
        <f>IF(StudentData[[#This Row],[G3]]&gt;=10,"Pass","Fail")</f>
        <v>Pass</v>
      </c>
      <c r="AI184">
        <f>IF(StudentData[[#This Row],[G3]]&lt;StudentData[[#This Row],[G2]],1,0)</f>
        <v>0</v>
      </c>
      <c r="AJ184">
        <f>IF(StudentData[[#This Row],[failures]]&gt;=2,100,IF(StudentData[[#This Row],[failures]]=1,60,0))</f>
        <v>0</v>
      </c>
      <c r="AK184">
        <f>IF(StudentData[[#This Row],[absences]]&gt;15,80,IF(StudentData[[#This Row],[absences]]&gt;10,50,0))</f>
        <v>0</v>
      </c>
      <c r="AL184">
        <f>IF(StudentData[[#This Row],[studytime]]=1,70,IF(StudentData[[#This Row],[studytime]]=2,40,0))</f>
        <v>40</v>
      </c>
      <c r="AM184">
        <f>IF(StudentData[[#This Row],[GradeDrop]]=1,50,0)</f>
        <v>0</v>
      </c>
      <c r="AN184">
        <f>0.4*StudentData[[#This Row],[FailureScore]]+0.3*StudentData[[#This Row],[AbsenceScore]]+0.2*StudentData[[#This Row],[StudyRisk]]+0.1*StudentData[[#This Row],[TrendRisk]]</f>
        <v>8</v>
      </c>
      <c r="AO184" t="str">
        <f>IF(StudentData[[#This Row],[RiskIndex]]&lt;=30,"Low",IF(StudentData[[#This Row],[RiskIndex]]&lt;=60,"Medium","High"))</f>
        <v>Low</v>
      </c>
      <c r="AP184">
        <f>StudentData[[#This Row],[G3]]+('Intervention Simulator'!$C$2*1.5)</f>
        <v>13</v>
      </c>
      <c r="AQ184" t="str">
        <f>IF(StudentData[[#This Row],[ProjectedGrade]]&gt;=10,"Pass","Fail")</f>
        <v>Pass</v>
      </c>
    </row>
    <row r="185" spans="1:43" x14ac:dyDescent="0.3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  <c r="AH185" t="str">
        <f>IF(StudentData[[#This Row],[G3]]&gt;=10,"Pass","Fail")</f>
        <v>Pass</v>
      </c>
      <c r="AI185">
        <f>IF(StudentData[[#This Row],[G3]]&lt;StudentData[[#This Row],[G2]],1,0)</f>
        <v>0</v>
      </c>
      <c r="AJ185">
        <f>IF(StudentData[[#This Row],[failures]]&gt;=2,100,IF(StudentData[[#This Row],[failures]]=1,60,0))</f>
        <v>0</v>
      </c>
      <c r="AK185">
        <f>IF(StudentData[[#This Row],[absences]]&gt;15,80,IF(StudentData[[#This Row],[absences]]&gt;10,50,0))</f>
        <v>0</v>
      </c>
      <c r="AL185">
        <f>IF(StudentData[[#This Row],[studytime]]=1,70,IF(StudentData[[#This Row],[studytime]]=2,40,0))</f>
        <v>40</v>
      </c>
      <c r="AM185">
        <f>IF(StudentData[[#This Row],[GradeDrop]]=1,50,0)</f>
        <v>0</v>
      </c>
      <c r="AN185">
        <f>0.4*StudentData[[#This Row],[FailureScore]]+0.3*StudentData[[#This Row],[AbsenceScore]]+0.2*StudentData[[#This Row],[StudyRisk]]+0.1*StudentData[[#This Row],[TrendRisk]]</f>
        <v>8</v>
      </c>
      <c r="AO185" t="str">
        <f>IF(StudentData[[#This Row],[RiskIndex]]&lt;=30,"Low",IF(StudentData[[#This Row],[RiskIndex]]&lt;=60,"Medium","High"))</f>
        <v>Low</v>
      </c>
      <c r="AP185">
        <f>StudentData[[#This Row],[G3]]+('Intervention Simulator'!$C$2*1.5)</f>
        <v>17</v>
      </c>
      <c r="AQ185" t="str">
        <f>IF(StudentData[[#This Row],[ProjectedGrade]]&gt;=10,"Pass","Fail")</f>
        <v>Pass</v>
      </c>
    </row>
    <row r="186" spans="1:43" x14ac:dyDescent="0.3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  <c r="AH186" t="str">
        <f>IF(StudentData[[#This Row],[G3]]&gt;=10,"Pass","Fail")</f>
        <v>Pass</v>
      </c>
      <c r="AI186">
        <f>IF(StudentData[[#This Row],[G3]]&lt;StudentData[[#This Row],[G2]],1,0)</f>
        <v>0</v>
      </c>
      <c r="AJ186">
        <f>IF(StudentData[[#This Row],[failures]]&gt;=2,100,IF(StudentData[[#This Row],[failures]]=1,60,0))</f>
        <v>60</v>
      </c>
      <c r="AK186">
        <f>IF(StudentData[[#This Row],[absences]]&gt;15,80,IF(StudentData[[#This Row],[absences]]&gt;10,50,0))</f>
        <v>0</v>
      </c>
      <c r="AL186">
        <f>IF(StudentData[[#This Row],[studytime]]=1,70,IF(StudentData[[#This Row],[studytime]]=2,40,0))</f>
        <v>70</v>
      </c>
      <c r="AM186">
        <f>IF(StudentData[[#This Row],[GradeDrop]]=1,50,0)</f>
        <v>0</v>
      </c>
      <c r="AN186">
        <f>0.4*StudentData[[#This Row],[FailureScore]]+0.3*StudentData[[#This Row],[AbsenceScore]]+0.2*StudentData[[#This Row],[StudyRisk]]+0.1*StudentData[[#This Row],[TrendRisk]]</f>
        <v>38</v>
      </c>
      <c r="AO186" t="str">
        <f>IF(StudentData[[#This Row],[RiskIndex]]&lt;=30,"Low",IF(StudentData[[#This Row],[RiskIndex]]&lt;=60,"Medium","High"))</f>
        <v>Medium</v>
      </c>
      <c r="AP186">
        <f>StudentData[[#This Row],[G3]]+('Intervention Simulator'!$C$2*1.5)</f>
        <v>10</v>
      </c>
      <c r="AQ186" t="str">
        <f>IF(StudentData[[#This Row],[ProjectedGrade]]&gt;=10,"Pass","Fail")</f>
        <v>Pass</v>
      </c>
    </row>
    <row r="187" spans="1:43" x14ac:dyDescent="0.3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  <c r="AH187" t="str">
        <f>IF(StudentData[[#This Row],[G3]]&gt;=10,"Pass","Fail")</f>
        <v>Pass</v>
      </c>
      <c r="AI187">
        <f>IF(StudentData[[#This Row],[G3]]&lt;StudentData[[#This Row],[G2]],1,0)</f>
        <v>0</v>
      </c>
      <c r="AJ187">
        <f>IF(StudentData[[#This Row],[failures]]&gt;=2,100,IF(StudentData[[#This Row],[failures]]=1,60,0))</f>
        <v>0</v>
      </c>
      <c r="AK187">
        <f>IF(StudentData[[#This Row],[absences]]&gt;15,80,IF(StudentData[[#This Row],[absences]]&gt;10,50,0))</f>
        <v>0</v>
      </c>
      <c r="AL187">
        <f>IF(StudentData[[#This Row],[studytime]]=1,70,IF(StudentData[[#This Row],[studytime]]=2,40,0))</f>
        <v>40</v>
      </c>
      <c r="AM187">
        <f>IF(StudentData[[#This Row],[GradeDrop]]=1,50,0)</f>
        <v>0</v>
      </c>
      <c r="AN187">
        <f>0.4*StudentData[[#This Row],[FailureScore]]+0.3*StudentData[[#This Row],[AbsenceScore]]+0.2*StudentData[[#This Row],[StudyRisk]]+0.1*StudentData[[#This Row],[TrendRisk]]</f>
        <v>8</v>
      </c>
      <c r="AO187" t="str">
        <f>IF(StudentData[[#This Row],[RiskIndex]]&lt;=30,"Low",IF(StudentData[[#This Row],[RiskIndex]]&lt;=60,"Medium","High"))</f>
        <v>Low</v>
      </c>
      <c r="AP187">
        <f>StudentData[[#This Row],[G3]]+('Intervention Simulator'!$C$2*1.5)</f>
        <v>18</v>
      </c>
      <c r="AQ187" t="str">
        <f>IF(StudentData[[#This Row],[ProjectedGrade]]&gt;=10,"Pass","Fail")</f>
        <v>Pass</v>
      </c>
    </row>
    <row r="188" spans="1:43" x14ac:dyDescent="0.3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  <c r="AH188" t="str">
        <f>IF(StudentData[[#This Row],[G3]]&gt;=10,"Pass","Fail")</f>
        <v>Pass</v>
      </c>
      <c r="AI188">
        <f>IF(StudentData[[#This Row],[G3]]&lt;StudentData[[#This Row],[G2]],1,0)</f>
        <v>0</v>
      </c>
      <c r="AJ188">
        <f>IF(StudentData[[#This Row],[failures]]&gt;=2,100,IF(StudentData[[#This Row],[failures]]=1,60,0))</f>
        <v>0</v>
      </c>
      <c r="AK188">
        <f>IF(StudentData[[#This Row],[absences]]&gt;15,80,IF(StudentData[[#This Row],[absences]]&gt;10,50,0))</f>
        <v>0</v>
      </c>
      <c r="AL188">
        <f>IF(StudentData[[#This Row],[studytime]]=1,70,IF(StudentData[[#This Row],[studytime]]=2,40,0))</f>
        <v>40</v>
      </c>
      <c r="AM188">
        <f>IF(StudentData[[#This Row],[GradeDrop]]=1,50,0)</f>
        <v>0</v>
      </c>
      <c r="AN188">
        <f>0.4*StudentData[[#This Row],[FailureScore]]+0.3*StudentData[[#This Row],[AbsenceScore]]+0.2*StudentData[[#This Row],[StudyRisk]]+0.1*StudentData[[#This Row],[TrendRisk]]</f>
        <v>8</v>
      </c>
      <c r="AO188" t="str">
        <f>IF(StudentData[[#This Row],[RiskIndex]]&lt;=30,"Low",IF(StudentData[[#This Row],[RiskIndex]]&lt;=60,"Medium","High"))</f>
        <v>Low</v>
      </c>
      <c r="AP188">
        <f>StudentData[[#This Row],[G3]]+('Intervention Simulator'!$C$2*1.5)</f>
        <v>10</v>
      </c>
      <c r="AQ188" t="str">
        <f>IF(StudentData[[#This Row],[ProjectedGrade]]&gt;=10,"Pass","Fail")</f>
        <v>Pass</v>
      </c>
    </row>
    <row r="189" spans="1:43" x14ac:dyDescent="0.3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  <c r="AH189" t="str">
        <f>IF(StudentData[[#This Row],[G3]]&gt;=10,"Pass","Fail")</f>
        <v>Pass</v>
      </c>
      <c r="AI189">
        <f>IF(StudentData[[#This Row],[G3]]&lt;StudentData[[#This Row],[G2]],1,0)</f>
        <v>0</v>
      </c>
      <c r="AJ189">
        <f>IF(StudentData[[#This Row],[failures]]&gt;=2,100,IF(StudentData[[#This Row],[failures]]=1,60,0))</f>
        <v>0</v>
      </c>
      <c r="AK189">
        <f>IF(StudentData[[#This Row],[absences]]&gt;15,80,IF(StudentData[[#This Row],[absences]]&gt;10,50,0))</f>
        <v>0</v>
      </c>
      <c r="AL189">
        <f>IF(StudentData[[#This Row],[studytime]]=1,70,IF(StudentData[[#This Row],[studytime]]=2,40,0))</f>
        <v>40</v>
      </c>
      <c r="AM189">
        <f>IF(StudentData[[#This Row],[GradeDrop]]=1,50,0)</f>
        <v>0</v>
      </c>
      <c r="AN189">
        <f>0.4*StudentData[[#This Row],[FailureScore]]+0.3*StudentData[[#This Row],[AbsenceScore]]+0.2*StudentData[[#This Row],[StudyRisk]]+0.1*StudentData[[#This Row],[TrendRisk]]</f>
        <v>8</v>
      </c>
      <c r="AO189" t="str">
        <f>IF(StudentData[[#This Row],[RiskIndex]]&lt;=30,"Low",IF(StudentData[[#This Row],[RiskIndex]]&lt;=60,"Medium","High"))</f>
        <v>Low</v>
      </c>
      <c r="AP189">
        <f>StudentData[[#This Row],[G3]]+('Intervention Simulator'!$C$2*1.5)</f>
        <v>13</v>
      </c>
      <c r="AQ189" t="str">
        <f>IF(StudentData[[#This Row],[ProjectedGrade]]&gt;=10,"Pass","Fail")</f>
        <v>Pass</v>
      </c>
    </row>
    <row r="190" spans="1:43" x14ac:dyDescent="0.3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  <c r="AH190" t="str">
        <f>IF(StudentData[[#This Row],[G3]]&gt;=10,"Pass","Fail")</f>
        <v>Pass</v>
      </c>
      <c r="AI190">
        <f>IF(StudentData[[#This Row],[G3]]&lt;StudentData[[#This Row],[G2]],1,0)</f>
        <v>0</v>
      </c>
      <c r="AJ190">
        <f>IF(StudentData[[#This Row],[failures]]&gt;=2,100,IF(StudentData[[#This Row],[failures]]=1,60,0))</f>
        <v>0</v>
      </c>
      <c r="AK190">
        <f>IF(StudentData[[#This Row],[absences]]&gt;15,80,IF(StudentData[[#This Row],[absences]]&gt;10,50,0))</f>
        <v>0</v>
      </c>
      <c r="AL190">
        <f>IF(StudentData[[#This Row],[studytime]]=1,70,IF(StudentData[[#This Row],[studytime]]=2,40,0))</f>
        <v>40</v>
      </c>
      <c r="AM190">
        <f>IF(StudentData[[#This Row],[GradeDrop]]=1,50,0)</f>
        <v>0</v>
      </c>
      <c r="AN190">
        <f>0.4*StudentData[[#This Row],[FailureScore]]+0.3*StudentData[[#This Row],[AbsenceScore]]+0.2*StudentData[[#This Row],[StudyRisk]]+0.1*StudentData[[#This Row],[TrendRisk]]</f>
        <v>8</v>
      </c>
      <c r="AO190" t="str">
        <f>IF(StudentData[[#This Row],[RiskIndex]]&lt;=30,"Low",IF(StudentData[[#This Row],[RiskIndex]]&lt;=60,"Medium","High"))</f>
        <v>Low</v>
      </c>
      <c r="AP190">
        <f>StudentData[[#This Row],[G3]]+('Intervention Simulator'!$C$2*1.5)</f>
        <v>15</v>
      </c>
      <c r="AQ190" t="str">
        <f>IF(StudentData[[#This Row],[ProjectedGrade]]&gt;=10,"Pass","Fail")</f>
        <v>Pass</v>
      </c>
    </row>
    <row r="191" spans="1:43" x14ac:dyDescent="0.3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  <c r="AH191" t="str">
        <f>IF(StudentData[[#This Row],[G3]]&gt;=10,"Pass","Fail")</f>
        <v>Pass</v>
      </c>
      <c r="AI191">
        <f>IF(StudentData[[#This Row],[G3]]&lt;StudentData[[#This Row],[G2]],1,0)</f>
        <v>0</v>
      </c>
      <c r="AJ191">
        <f>IF(StudentData[[#This Row],[failures]]&gt;=2,100,IF(StudentData[[#This Row],[failures]]=1,60,0))</f>
        <v>0</v>
      </c>
      <c r="AK191">
        <f>IF(StudentData[[#This Row],[absences]]&gt;15,80,IF(StudentData[[#This Row],[absences]]&gt;10,50,0))</f>
        <v>0</v>
      </c>
      <c r="AL191">
        <f>IF(StudentData[[#This Row],[studytime]]=1,70,IF(StudentData[[#This Row],[studytime]]=2,40,0))</f>
        <v>40</v>
      </c>
      <c r="AM191">
        <f>IF(StudentData[[#This Row],[GradeDrop]]=1,50,0)</f>
        <v>0</v>
      </c>
      <c r="AN191">
        <f>0.4*StudentData[[#This Row],[FailureScore]]+0.3*StudentData[[#This Row],[AbsenceScore]]+0.2*StudentData[[#This Row],[StudyRisk]]+0.1*StudentData[[#This Row],[TrendRisk]]</f>
        <v>8</v>
      </c>
      <c r="AO191" t="str">
        <f>IF(StudentData[[#This Row],[RiskIndex]]&lt;=30,"Low",IF(StudentData[[#This Row],[RiskIndex]]&lt;=60,"Medium","High"))</f>
        <v>Low</v>
      </c>
      <c r="AP191">
        <f>StudentData[[#This Row],[G3]]+('Intervention Simulator'!$C$2*1.5)</f>
        <v>11</v>
      </c>
      <c r="AQ191" t="str">
        <f>IF(StudentData[[#This Row],[ProjectedGrade]]&gt;=10,"Pass","Fail")</f>
        <v>Pass</v>
      </c>
    </row>
    <row r="192" spans="1:4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  <c r="AH192" t="str">
        <f>IF(StudentData[[#This Row],[G3]]&gt;=10,"Pass","Fail")</f>
        <v>Pass</v>
      </c>
      <c r="AI192">
        <f>IF(StudentData[[#This Row],[G3]]&lt;StudentData[[#This Row],[G2]],1,0)</f>
        <v>0</v>
      </c>
      <c r="AJ192">
        <f>IF(StudentData[[#This Row],[failures]]&gt;=2,100,IF(StudentData[[#This Row],[failures]]=1,60,0))</f>
        <v>0</v>
      </c>
      <c r="AK192">
        <f>IF(StudentData[[#This Row],[absences]]&gt;15,80,IF(StudentData[[#This Row],[absences]]&gt;10,50,0))</f>
        <v>0</v>
      </c>
      <c r="AL192">
        <f>IF(StudentData[[#This Row],[studytime]]=1,70,IF(StudentData[[#This Row],[studytime]]=2,40,0))</f>
        <v>40</v>
      </c>
      <c r="AM192">
        <f>IF(StudentData[[#This Row],[GradeDrop]]=1,50,0)</f>
        <v>0</v>
      </c>
      <c r="AN192">
        <f>0.4*StudentData[[#This Row],[FailureScore]]+0.3*StudentData[[#This Row],[AbsenceScore]]+0.2*StudentData[[#This Row],[StudyRisk]]+0.1*StudentData[[#This Row],[TrendRisk]]</f>
        <v>8</v>
      </c>
      <c r="AO192" t="str">
        <f>IF(StudentData[[#This Row],[RiskIndex]]&lt;=30,"Low",IF(StudentData[[#This Row],[RiskIndex]]&lt;=60,"Medium","High"))</f>
        <v>Low</v>
      </c>
      <c r="AP192">
        <f>StudentData[[#This Row],[G3]]+('Intervention Simulator'!$C$2*1.5)</f>
        <v>14</v>
      </c>
      <c r="AQ192" t="str">
        <f>IF(StudentData[[#This Row],[ProjectedGrade]]&gt;=10,"Pass","Fail")</f>
        <v>Pass</v>
      </c>
    </row>
    <row r="193" spans="1:43" x14ac:dyDescent="0.3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  <c r="AH193" t="str">
        <f>IF(StudentData[[#This Row],[G3]]&gt;=10,"Pass","Fail")</f>
        <v>Pass</v>
      </c>
      <c r="AI193">
        <f>IF(StudentData[[#This Row],[G3]]&lt;StudentData[[#This Row],[G2]],1,0)</f>
        <v>0</v>
      </c>
      <c r="AJ193">
        <f>IF(StudentData[[#This Row],[failures]]&gt;=2,100,IF(StudentData[[#This Row],[failures]]=1,60,0))</f>
        <v>0</v>
      </c>
      <c r="AK193">
        <f>IF(StudentData[[#This Row],[absences]]&gt;15,80,IF(StudentData[[#This Row],[absences]]&gt;10,50,0))</f>
        <v>0</v>
      </c>
      <c r="AL193">
        <f>IF(StudentData[[#This Row],[studytime]]=1,70,IF(StudentData[[#This Row],[studytime]]=2,40,0))</f>
        <v>40</v>
      </c>
      <c r="AM193">
        <f>IF(StudentData[[#This Row],[GradeDrop]]=1,50,0)</f>
        <v>0</v>
      </c>
      <c r="AN193">
        <f>0.4*StudentData[[#This Row],[FailureScore]]+0.3*StudentData[[#This Row],[AbsenceScore]]+0.2*StudentData[[#This Row],[StudyRisk]]+0.1*StudentData[[#This Row],[TrendRisk]]</f>
        <v>8</v>
      </c>
      <c r="AO193" t="str">
        <f>IF(StudentData[[#This Row],[RiskIndex]]&lt;=30,"Low",IF(StudentData[[#This Row],[RiskIndex]]&lt;=60,"Medium","High"))</f>
        <v>Low</v>
      </c>
      <c r="AP193">
        <f>StudentData[[#This Row],[G3]]+('Intervention Simulator'!$C$2*1.5)</f>
        <v>10</v>
      </c>
      <c r="AQ193" t="str">
        <f>IF(StudentData[[#This Row],[ProjectedGrade]]&gt;=10,"Pass","Fail")</f>
        <v>Pass</v>
      </c>
    </row>
    <row r="194" spans="1:43" x14ac:dyDescent="0.3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  <c r="AH194" t="str">
        <f>IF(StudentData[[#This Row],[G3]]&gt;=10,"Pass","Fail")</f>
        <v>Pass</v>
      </c>
      <c r="AI194">
        <f>IF(StudentData[[#This Row],[G3]]&lt;StudentData[[#This Row],[G2]],1,0)</f>
        <v>0</v>
      </c>
      <c r="AJ194">
        <f>IF(StudentData[[#This Row],[failures]]&gt;=2,100,IF(StudentData[[#This Row],[failures]]=1,60,0))</f>
        <v>0</v>
      </c>
      <c r="AK194">
        <f>IF(StudentData[[#This Row],[absences]]&gt;15,80,IF(StudentData[[#This Row],[absences]]&gt;10,50,0))</f>
        <v>0</v>
      </c>
      <c r="AL194">
        <f>IF(StudentData[[#This Row],[studytime]]=1,70,IF(StudentData[[#This Row],[studytime]]=2,40,0))</f>
        <v>70</v>
      </c>
      <c r="AM194">
        <f>IF(StudentData[[#This Row],[GradeDrop]]=1,50,0)</f>
        <v>0</v>
      </c>
      <c r="AN194">
        <f>0.4*StudentData[[#This Row],[FailureScore]]+0.3*StudentData[[#This Row],[AbsenceScore]]+0.2*StudentData[[#This Row],[StudyRisk]]+0.1*StudentData[[#This Row],[TrendRisk]]</f>
        <v>14</v>
      </c>
      <c r="AO194" t="str">
        <f>IF(StudentData[[#This Row],[RiskIndex]]&lt;=30,"Low",IF(StudentData[[#This Row],[RiskIndex]]&lt;=60,"Medium","High"))</f>
        <v>Low</v>
      </c>
      <c r="AP194">
        <f>StudentData[[#This Row],[G3]]+('Intervention Simulator'!$C$2*1.5)</f>
        <v>11</v>
      </c>
      <c r="AQ194" t="str">
        <f>IF(StudentData[[#This Row],[ProjectedGrade]]&gt;=10,"Pass","Fail")</f>
        <v>Pass</v>
      </c>
    </row>
    <row r="195" spans="1:43" x14ac:dyDescent="0.3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  <c r="AH195" t="str">
        <f>IF(StudentData[[#This Row],[G3]]&gt;=10,"Pass","Fail")</f>
        <v>Pass</v>
      </c>
      <c r="AI195">
        <f>IF(StudentData[[#This Row],[G3]]&lt;StudentData[[#This Row],[G2]],1,0)</f>
        <v>0</v>
      </c>
      <c r="AJ195">
        <f>IF(StudentData[[#This Row],[failures]]&gt;=2,100,IF(StudentData[[#This Row],[failures]]=1,60,0))</f>
        <v>0</v>
      </c>
      <c r="AK195">
        <f>IF(StudentData[[#This Row],[absences]]&gt;15,80,IF(StudentData[[#This Row],[absences]]&gt;10,50,0))</f>
        <v>0</v>
      </c>
      <c r="AL195">
        <f>IF(StudentData[[#This Row],[studytime]]=1,70,IF(StudentData[[#This Row],[studytime]]=2,40,0))</f>
        <v>40</v>
      </c>
      <c r="AM195">
        <f>IF(StudentData[[#This Row],[GradeDrop]]=1,50,0)</f>
        <v>0</v>
      </c>
      <c r="AN195">
        <f>0.4*StudentData[[#This Row],[FailureScore]]+0.3*StudentData[[#This Row],[AbsenceScore]]+0.2*StudentData[[#This Row],[StudyRisk]]+0.1*StudentData[[#This Row],[TrendRisk]]</f>
        <v>8</v>
      </c>
      <c r="AO195" t="str">
        <f>IF(StudentData[[#This Row],[RiskIndex]]&lt;=30,"Low",IF(StudentData[[#This Row],[RiskIndex]]&lt;=60,"Medium","High"))</f>
        <v>Low</v>
      </c>
      <c r="AP195">
        <f>StudentData[[#This Row],[G3]]+('Intervention Simulator'!$C$2*1.5)</f>
        <v>13</v>
      </c>
      <c r="AQ195" t="str">
        <f>IF(StudentData[[#This Row],[ProjectedGrade]]&gt;=10,"Pass","Fail")</f>
        <v>Pass</v>
      </c>
    </row>
    <row r="196" spans="1:4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  <c r="AH196" t="str">
        <f>IF(StudentData[[#This Row],[G3]]&gt;=10,"Pass","Fail")</f>
        <v>Pass</v>
      </c>
      <c r="AI196">
        <f>IF(StudentData[[#This Row],[G3]]&lt;StudentData[[#This Row],[G2]],1,0)</f>
        <v>0</v>
      </c>
      <c r="AJ196">
        <f>IF(StudentData[[#This Row],[failures]]&gt;=2,100,IF(StudentData[[#This Row],[failures]]=1,60,0))</f>
        <v>0</v>
      </c>
      <c r="AK196">
        <f>IF(StudentData[[#This Row],[absences]]&gt;15,80,IF(StudentData[[#This Row],[absences]]&gt;10,50,0))</f>
        <v>0</v>
      </c>
      <c r="AL196">
        <f>IF(StudentData[[#This Row],[studytime]]=1,70,IF(StudentData[[#This Row],[studytime]]=2,40,0))</f>
        <v>40</v>
      </c>
      <c r="AM196">
        <f>IF(StudentData[[#This Row],[GradeDrop]]=1,50,0)</f>
        <v>0</v>
      </c>
      <c r="AN196">
        <f>0.4*StudentData[[#This Row],[FailureScore]]+0.3*StudentData[[#This Row],[AbsenceScore]]+0.2*StudentData[[#This Row],[StudyRisk]]+0.1*StudentData[[#This Row],[TrendRisk]]</f>
        <v>8</v>
      </c>
      <c r="AO196" t="str">
        <f>IF(StudentData[[#This Row],[RiskIndex]]&lt;=30,"Low",IF(StudentData[[#This Row],[RiskIndex]]&lt;=60,"Medium","High"))</f>
        <v>Low</v>
      </c>
      <c r="AP196">
        <f>StudentData[[#This Row],[G3]]+('Intervention Simulator'!$C$2*1.5)</f>
        <v>11</v>
      </c>
      <c r="AQ196" t="str">
        <f>IF(StudentData[[#This Row],[ProjectedGrade]]&gt;=10,"Pass","Fail")</f>
        <v>Pass</v>
      </c>
    </row>
    <row r="197" spans="1:43" x14ac:dyDescent="0.3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  <c r="AH197" t="str">
        <f>IF(StudentData[[#This Row],[G3]]&gt;=10,"Pass","Fail")</f>
        <v>Pass</v>
      </c>
      <c r="AI197">
        <f>IF(StudentData[[#This Row],[G3]]&lt;StudentData[[#This Row],[G2]],1,0)</f>
        <v>0</v>
      </c>
      <c r="AJ197">
        <f>IF(StudentData[[#This Row],[failures]]&gt;=2,100,IF(StudentData[[#This Row],[failures]]=1,60,0))</f>
        <v>0</v>
      </c>
      <c r="AK197">
        <f>IF(StudentData[[#This Row],[absences]]&gt;15,80,IF(StudentData[[#This Row],[absences]]&gt;10,50,0))</f>
        <v>0</v>
      </c>
      <c r="AL197">
        <f>IF(StudentData[[#This Row],[studytime]]=1,70,IF(StudentData[[#This Row],[studytime]]=2,40,0))</f>
        <v>40</v>
      </c>
      <c r="AM197">
        <f>IF(StudentData[[#This Row],[GradeDrop]]=1,50,0)</f>
        <v>0</v>
      </c>
      <c r="AN197">
        <f>0.4*StudentData[[#This Row],[FailureScore]]+0.3*StudentData[[#This Row],[AbsenceScore]]+0.2*StudentData[[#This Row],[StudyRisk]]+0.1*StudentData[[#This Row],[TrendRisk]]</f>
        <v>8</v>
      </c>
      <c r="AO197" t="str">
        <f>IF(StudentData[[#This Row],[RiskIndex]]&lt;=30,"Low",IF(StudentData[[#This Row],[RiskIndex]]&lt;=60,"Medium","High"))</f>
        <v>Low</v>
      </c>
      <c r="AP197">
        <f>StudentData[[#This Row],[G3]]+('Intervention Simulator'!$C$2*1.5)</f>
        <v>13</v>
      </c>
      <c r="AQ197" t="str">
        <f>IF(StudentData[[#This Row],[ProjectedGrade]]&gt;=10,"Pass","Fail")</f>
        <v>Pass</v>
      </c>
    </row>
    <row r="198" spans="1:43" x14ac:dyDescent="0.3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  <c r="AH198" t="str">
        <f>IF(StudentData[[#This Row],[G3]]&gt;=10,"Pass","Fail")</f>
        <v>Pass</v>
      </c>
      <c r="AI198">
        <f>IF(StudentData[[#This Row],[G3]]&lt;StudentData[[#This Row],[G2]],1,0)</f>
        <v>1</v>
      </c>
      <c r="AJ198">
        <f>IF(StudentData[[#This Row],[failures]]&gt;=2,100,IF(StudentData[[#This Row],[failures]]=1,60,0))</f>
        <v>0</v>
      </c>
      <c r="AK198">
        <f>IF(StudentData[[#This Row],[absences]]&gt;15,80,IF(StudentData[[#This Row],[absences]]&gt;10,50,0))</f>
        <v>0</v>
      </c>
      <c r="AL198">
        <f>IF(StudentData[[#This Row],[studytime]]=1,70,IF(StudentData[[#This Row],[studytime]]=2,40,0))</f>
        <v>40</v>
      </c>
      <c r="AM198">
        <f>IF(StudentData[[#This Row],[GradeDrop]]=1,50,0)</f>
        <v>50</v>
      </c>
      <c r="AN198">
        <f>0.4*StudentData[[#This Row],[FailureScore]]+0.3*StudentData[[#This Row],[AbsenceScore]]+0.2*StudentData[[#This Row],[StudyRisk]]+0.1*StudentData[[#This Row],[TrendRisk]]</f>
        <v>13</v>
      </c>
      <c r="AO198" t="str">
        <f>IF(StudentData[[#This Row],[RiskIndex]]&lt;=30,"Low",IF(StudentData[[#This Row],[RiskIndex]]&lt;=60,"Medium","High"))</f>
        <v>Low</v>
      </c>
      <c r="AP198">
        <f>StudentData[[#This Row],[G3]]+('Intervention Simulator'!$C$2*1.5)</f>
        <v>17</v>
      </c>
      <c r="AQ198" t="str">
        <f>IF(StudentData[[#This Row],[ProjectedGrade]]&gt;=10,"Pass","Fail")</f>
        <v>Pass</v>
      </c>
    </row>
    <row r="199" spans="1:43" x14ac:dyDescent="0.3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  <c r="AH199" t="str">
        <f>IF(StudentData[[#This Row],[G3]]&gt;=10,"Pass","Fail")</f>
        <v>Pass</v>
      </c>
      <c r="AI199">
        <f>IF(StudentData[[#This Row],[G3]]&lt;StudentData[[#This Row],[G2]],1,0)</f>
        <v>0</v>
      </c>
      <c r="AJ199">
        <f>IF(StudentData[[#This Row],[failures]]&gt;=2,100,IF(StudentData[[#This Row],[failures]]=1,60,0))</f>
        <v>0</v>
      </c>
      <c r="AK199">
        <f>IF(StudentData[[#This Row],[absences]]&gt;15,80,IF(StudentData[[#This Row],[absences]]&gt;10,50,0))</f>
        <v>80</v>
      </c>
      <c r="AL199">
        <f>IF(StudentData[[#This Row],[studytime]]=1,70,IF(StudentData[[#This Row],[studytime]]=2,40,0))</f>
        <v>40</v>
      </c>
      <c r="AM199">
        <f>IF(StudentData[[#This Row],[GradeDrop]]=1,50,0)</f>
        <v>0</v>
      </c>
      <c r="AN199">
        <f>0.4*StudentData[[#This Row],[FailureScore]]+0.3*StudentData[[#This Row],[AbsenceScore]]+0.2*StudentData[[#This Row],[StudyRisk]]+0.1*StudentData[[#This Row],[TrendRisk]]</f>
        <v>32</v>
      </c>
      <c r="AO199" t="str">
        <f>IF(StudentData[[#This Row],[RiskIndex]]&lt;=30,"Low",IF(StudentData[[#This Row],[RiskIndex]]&lt;=60,"Medium","High"))</f>
        <v>Medium</v>
      </c>
      <c r="AP199">
        <f>StudentData[[#This Row],[G3]]+('Intervention Simulator'!$C$2*1.5)</f>
        <v>14</v>
      </c>
      <c r="AQ199" t="str">
        <f>IF(StudentData[[#This Row],[ProjectedGrade]]&gt;=10,"Pass","Fail")</f>
        <v>Pass</v>
      </c>
    </row>
    <row r="200" spans="1:43" x14ac:dyDescent="0.3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  <c r="AH200" t="str">
        <f>IF(StudentData[[#This Row],[G3]]&gt;=10,"Pass","Fail")</f>
        <v>Pass</v>
      </c>
      <c r="AI200">
        <f>IF(StudentData[[#This Row],[G3]]&lt;StudentData[[#This Row],[G2]],1,0)</f>
        <v>0</v>
      </c>
      <c r="AJ200">
        <f>IF(StudentData[[#This Row],[failures]]&gt;=2,100,IF(StudentData[[#This Row],[failures]]=1,60,0))</f>
        <v>0</v>
      </c>
      <c r="AK200">
        <f>IF(StudentData[[#This Row],[absences]]&gt;15,80,IF(StudentData[[#This Row],[absences]]&gt;10,50,0))</f>
        <v>0</v>
      </c>
      <c r="AL200">
        <f>IF(StudentData[[#This Row],[studytime]]=1,70,IF(StudentData[[#This Row],[studytime]]=2,40,0))</f>
        <v>40</v>
      </c>
      <c r="AM200">
        <f>IF(StudentData[[#This Row],[GradeDrop]]=1,50,0)</f>
        <v>0</v>
      </c>
      <c r="AN200">
        <f>0.4*StudentData[[#This Row],[FailureScore]]+0.3*StudentData[[#This Row],[AbsenceScore]]+0.2*StudentData[[#This Row],[StudyRisk]]+0.1*StudentData[[#This Row],[TrendRisk]]</f>
        <v>8</v>
      </c>
      <c r="AO200" t="str">
        <f>IF(StudentData[[#This Row],[RiskIndex]]&lt;=30,"Low",IF(StudentData[[#This Row],[RiskIndex]]&lt;=60,"Medium","High"))</f>
        <v>Low</v>
      </c>
      <c r="AP200">
        <f>StudentData[[#This Row],[G3]]+('Intervention Simulator'!$C$2*1.5)</f>
        <v>16</v>
      </c>
      <c r="AQ200" t="str">
        <f>IF(StudentData[[#This Row],[ProjectedGrade]]&gt;=10,"Pass","Fail")</f>
        <v>Pass</v>
      </c>
    </row>
    <row r="201" spans="1:43" x14ac:dyDescent="0.3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  <c r="AH201" t="str">
        <f>IF(StudentData[[#This Row],[G3]]&gt;=10,"Pass","Fail")</f>
        <v>Pass</v>
      </c>
      <c r="AI201">
        <f>IF(StudentData[[#This Row],[G3]]&lt;StudentData[[#This Row],[G2]],1,0)</f>
        <v>0</v>
      </c>
      <c r="AJ201">
        <f>IF(StudentData[[#This Row],[failures]]&gt;=2,100,IF(StudentData[[#This Row],[failures]]=1,60,0))</f>
        <v>0</v>
      </c>
      <c r="AK201">
        <f>IF(StudentData[[#This Row],[absences]]&gt;15,80,IF(StudentData[[#This Row],[absences]]&gt;10,50,0))</f>
        <v>0</v>
      </c>
      <c r="AL201">
        <f>IF(StudentData[[#This Row],[studytime]]=1,70,IF(StudentData[[#This Row],[studytime]]=2,40,0))</f>
        <v>40</v>
      </c>
      <c r="AM201">
        <f>IF(StudentData[[#This Row],[GradeDrop]]=1,50,0)</f>
        <v>0</v>
      </c>
      <c r="AN201">
        <f>0.4*StudentData[[#This Row],[FailureScore]]+0.3*StudentData[[#This Row],[AbsenceScore]]+0.2*StudentData[[#This Row],[StudyRisk]]+0.1*StudentData[[#This Row],[TrendRisk]]</f>
        <v>8</v>
      </c>
      <c r="AO201" t="str">
        <f>IF(StudentData[[#This Row],[RiskIndex]]&lt;=30,"Low",IF(StudentData[[#This Row],[RiskIndex]]&lt;=60,"Medium","High"))</f>
        <v>Low</v>
      </c>
      <c r="AP201">
        <f>StudentData[[#This Row],[G3]]+('Intervention Simulator'!$C$2*1.5)</f>
        <v>14</v>
      </c>
      <c r="AQ201" t="str">
        <f>IF(StudentData[[#This Row],[ProjectedGrade]]&gt;=10,"Pass","Fail")</f>
        <v>Pass</v>
      </c>
    </row>
    <row r="202" spans="1:43" x14ac:dyDescent="0.3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  <c r="AH202" t="str">
        <f>IF(StudentData[[#This Row],[G3]]&gt;=10,"Pass","Fail")</f>
        <v>Pass</v>
      </c>
      <c r="AI202">
        <f>IF(StudentData[[#This Row],[G3]]&lt;StudentData[[#This Row],[G2]],1,0)</f>
        <v>0</v>
      </c>
      <c r="AJ202">
        <f>IF(StudentData[[#This Row],[failures]]&gt;=2,100,IF(StudentData[[#This Row],[failures]]=1,60,0))</f>
        <v>0</v>
      </c>
      <c r="AK202">
        <f>IF(StudentData[[#This Row],[absences]]&gt;15,80,IF(StudentData[[#This Row],[absences]]&gt;10,50,0))</f>
        <v>0</v>
      </c>
      <c r="AL202">
        <f>IF(StudentData[[#This Row],[studytime]]=1,70,IF(StudentData[[#This Row],[studytime]]=2,40,0))</f>
        <v>70</v>
      </c>
      <c r="AM202">
        <f>IF(StudentData[[#This Row],[GradeDrop]]=1,50,0)</f>
        <v>0</v>
      </c>
      <c r="AN202">
        <f>0.4*StudentData[[#This Row],[FailureScore]]+0.3*StudentData[[#This Row],[AbsenceScore]]+0.2*StudentData[[#This Row],[StudyRisk]]+0.1*StudentData[[#This Row],[TrendRisk]]</f>
        <v>14</v>
      </c>
      <c r="AO202" t="str">
        <f>IF(StudentData[[#This Row],[RiskIndex]]&lt;=30,"Low",IF(StudentData[[#This Row],[RiskIndex]]&lt;=60,"Medium","High"))</f>
        <v>Low</v>
      </c>
      <c r="AP202">
        <f>StudentData[[#This Row],[G3]]+('Intervention Simulator'!$C$2*1.5)</f>
        <v>11</v>
      </c>
      <c r="AQ202" t="str">
        <f>IF(StudentData[[#This Row],[ProjectedGrade]]&gt;=10,"Pass","Fail")</f>
        <v>Pass</v>
      </c>
    </row>
    <row r="203" spans="1:43" x14ac:dyDescent="0.3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  <c r="AH203" t="str">
        <f>IF(StudentData[[#This Row],[G3]]&gt;=10,"Pass","Fail")</f>
        <v>Pass</v>
      </c>
      <c r="AI203">
        <f>IF(StudentData[[#This Row],[G3]]&lt;StudentData[[#This Row],[G2]],1,0)</f>
        <v>0</v>
      </c>
      <c r="AJ203">
        <f>IF(StudentData[[#This Row],[failures]]&gt;=2,100,IF(StudentData[[#This Row],[failures]]=1,60,0))</f>
        <v>0</v>
      </c>
      <c r="AK203">
        <f>IF(StudentData[[#This Row],[absences]]&gt;15,80,IF(StudentData[[#This Row],[absences]]&gt;10,50,0))</f>
        <v>0</v>
      </c>
      <c r="AL203">
        <f>IF(StudentData[[#This Row],[studytime]]=1,70,IF(StudentData[[#This Row],[studytime]]=2,40,0))</f>
        <v>40</v>
      </c>
      <c r="AM203">
        <f>IF(StudentData[[#This Row],[GradeDrop]]=1,50,0)</f>
        <v>0</v>
      </c>
      <c r="AN203">
        <f>0.4*StudentData[[#This Row],[FailureScore]]+0.3*StudentData[[#This Row],[AbsenceScore]]+0.2*StudentData[[#This Row],[StudyRisk]]+0.1*StudentData[[#This Row],[TrendRisk]]</f>
        <v>8</v>
      </c>
      <c r="AO203" t="str">
        <f>IF(StudentData[[#This Row],[RiskIndex]]&lt;=30,"Low",IF(StudentData[[#This Row],[RiskIndex]]&lt;=60,"Medium","High"))</f>
        <v>Low</v>
      </c>
      <c r="AP203">
        <f>StudentData[[#This Row],[G3]]+('Intervention Simulator'!$C$2*1.5)</f>
        <v>16</v>
      </c>
      <c r="AQ203" t="str">
        <f>IF(StudentData[[#This Row],[ProjectedGrade]]&gt;=10,"Pass","Fail")</f>
        <v>Pass</v>
      </c>
    </row>
    <row r="204" spans="1:4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  <c r="AH204" t="str">
        <f>IF(StudentData[[#This Row],[G3]]&gt;=10,"Pass","Fail")</f>
        <v>Pass</v>
      </c>
      <c r="AI204">
        <f>IF(StudentData[[#This Row],[G3]]&lt;StudentData[[#This Row],[G2]],1,0)</f>
        <v>0</v>
      </c>
      <c r="AJ204">
        <f>IF(StudentData[[#This Row],[failures]]&gt;=2,100,IF(StudentData[[#This Row],[failures]]=1,60,0))</f>
        <v>0</v>
      </c>
      <c r="AK204">
        <f>IF(StudentData[[#This Row],[absences]]&gt;15,80,IF(StudentData[[#This Row],[absences]]&gt;10,50,0))</f>
        <v>0</v>
      </c>
      <c r="AL204">
        <f>IF(StudentData[[#This Row],[studytime]]=1,70,IF(StudentData[[#This Row],[studytime]]=2,40,0))</f>
        <v>40</v>
      </c>
      <c r="AM204">
        <f>IF(StudentData[[#This Row],[GradeDrop]]=1,50,0)</f>
        <v>0</v>
      </c>
      <c r="AN204">
        <f>0.4*StudentData[[#This Row],[FailureScore]]+0.3*StudentData[[#This Row],[AbsenceScore]]+0.2*StudentData[[#This Row],[StudyRisk]]+0.1*StudentData[[#This Row],[TrendRisk]]</f>
        <v>8</v>
      </c>
      <c r="AO204" t="str">
        <f>IF(StudentData[[#This Row],[RiskIndex]]&lt;=30,"Low",IF(StudentData[[#This Row],[RiskIndex]]&lt;=60,"Medium","High"))</f>
        <v>Low</v>
      </c>
      <c r="AP204">
        <f>StudentData[[#This Row],[G3]]+('Intervention Simulator'!$C$2*1.5)</f>
        <v>14</v>
      </c>
      <c r="AQ204" t="str">
        <f>IF(StudentData[[#This Row],[ProjectedGrade]]&gt;=10,"Pass","Fail")</f>
        <v>Pass</v>
      </c>
    </row>
    <row r="205" spans="1:43" x14ac:dyDescent="0.3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  <c r="AH205" t="str">
        <f>IF(StudentData[[#This Row],[G3]]&gt;=10,"Pass","Fail")</f>
        <v>Pass</v>
      </c>
      <c r="AI205">
        <f>IF(StudentData[[#This Row],[G3]]&lt;StudentData[[#This Row],[G2]],1,0)</f>
        <v>0</v>
      </c>
      <c r="AJ205">
        <f>IF(StudentData[[#This Row],[failures]]&gt;=2,100,IF(StudentData[[#This Row],[failures]]=1,60,0))</f>
        <v>0</v>
      </c>
      <c r="AK205">
        <f>IF(StudentData[[#This Row],[absences]]&gt;15,80,IF(StudentData[[#This Row],[absences]]&gt;10,50,0))</f>
        <v>0</v>
      </c>
      <c r="AL205">
        <f>IF(StudentData[[#This Row],[studytime]]=1,70,IF(StudentData[[#This Row],[studytime]]=2,40,0))</f>
        <v>40</v>
      </c>
      <c r="AM205">
        <f>IF(StudentData[[#This Row],[GradeDrop]]=1,50,0)</f>
        <v>0</v>
      </c>
      <c r="AN205">
        <f>0.4*StudentData[[#This Row],[FailureScore]]+0.3*StudentData[[#This Row],[AbsenceScore]]+0.2*StudentData[[#This Row],[StudyRisk]]+0.1*StudentData[[#This Row],[TrendRisk]]</f>
        <v>8</v>
      </c>
      <c r="AO205" t="str">
        <f>IF(StudentData[[#This Row],[RiskIndex]]&lt;=30,"Low",IF(StudentData[[#This Row],[RiskIndex]]&lt;=60,"Medium","High"))</f>
        <v>Low</v>
      </c>
      <c r="AP205">
        <f>StudentData[[#This Row],[G3]]+('Intervention Simulator'!$C$2*1.5)</f>
        <v>10</v>
      </c>
      <c r="AQ205" t="str">
        <f>IF(StudentData[[#This Row],[ProjectedGrade]]&gt;=10,"Pass","Fail")</f>
        <v>Pass</v>
      </c>
    </row>
    <row r="206" spans="1:43" x14ac:dyDescent="0.3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  <c r="AH206" t="str">
        <f>IF(StudentData[[#This Row],[G3]]&gt;=10,"Pass","Fail")</f>
        <v>Pass</v>
      </c>
      <c r="AI206">
        <f>IF(StudentData[[#This Row],[G3]]&lt;StudentData[[#This Row],[G2]],1,0)</f>
        <v>0</v>
      </c>
      <c r="AJ206">
        <f>IF(StudentData[[#This Row],[failures]]&gt;=2,100,IF(StudentData[[#This Row],[failures]]=1,60,0))</f>
        <v>0</v>
      </c>
      <c r="AK206">
        <f>IF(StudentData[[#This Row],[absences]]&gt;15,80,IF(StudentData[[#This Row],[absences]]&gt;10,50,0))</f>
        <v>0</v>
      </c>
      <c r="AL206">
        <f>IF(StudentData[[#This Row],[studytime]]=1,70,IF(StudentData[[#This Row],[studytime]]=2,40,0))</f>
        <v>40</v>
      </c>
      <c r="AM206">
        <f>IF(StudentData[[#This Row],[GradeDrop]]=1,50,0)</f>
        <v>0</v>
      </c>
      <c r="AN206">
        <f>0.4*StudentData[[#This Row],[FailureScore]]+0.3*StudentData[[#This Row],[AbsenceScore]]+0.2*StudentData[[#This Row],[StudyRisk]]+0.1*StudentData[[#This Row],[TrendRisk]]</f>
        <v>8</v>
      </c>
      <c r="AO206" t="str">
        <f>IF(StudentData[[#This Row],[RiskIndex]]&lt;=30,"Low",IF(StudentData[[#This Row],[RiskIndex]]&lt;=60,"Medium","High"))</f>
        <v>Low</v>
      </c>
      <c r="AP206">
        <f>StudentData[[#This Row],[G3]]+('Intervention Simulator'!$C$2*1.5)</f>
        <v>13</v>
      </c>
      <c r="AQ206" t="str">
        <f>IF(StudentData[[#This Row],[ProjectedGrade]]&gt;=10,"Pass","Fail")</f>
        <v>Pass</v>
      </c>
    </row>
    <row r="207" spans="1:4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  <c r="AH207" t="str">
        <f>IF(StudentData[[#This Row],[G3]]&gt;=10,"Pass","Fail")</f>
        <v>Pass</v>
      </c>
      <c r="AI207">
        <f>IF(StudentData[[#This Row],[G3]]&lt;StudentData[[#This Row],[G2]],1,0)</f>
        <v>0</v>
      </c>
      <c r="AJ207">
        <f>IF(StudentData[[#This Row],[failures]]&gt;=2,100,IF(StudentData[[#This Row],[failures]]=1,60,0))</f>
        <v>0</v>
      </c>
      <c r="AK207">
        <f>IF(StudentData[[#This Row],[absences]]&gt;15,80,IF(StudentData[[#This Row],[absences]]&gt;10,50,0))</f>
        <v>0</v>
      </c>
      <c r="AL207">
        <f>IF(StudentData[[#This Row],[studytime]]=1,70,IF(StudentData[[#This Row],[studytime]]=2,40,0))</f>
        <v>40</v>
      </c>
      <c r="AM207">
        <f>IF(StudentData[[#This Row],[GradeDrop]]=1,50,0)</f>
        <v>0</v>
      </c>
      <c r="AN207">
        <f>0.4*StudentData[[#This Row],[FailureScore]]+0.3*StudentData[[#This Row],[AbsenceScore]]+0.2*StudentData[[#This Row],[StudyRisk]]+0.1*StudentData[[#This Row],[TrendRisk]]</f>
        <v>8</v>
      </c>
      <c r="AO207" t="str">
        <f>IF(StudentData[[#This Row],[RiskIndex]]&lt;=30,"Low",IF(StudentData[[#This Row],[RiskIndex]]&lt;=60,"Medium","High"))</f>
        <v>Low</v>
      </c>
      <c r="AP207">
        <f>StudentData[[#This Row],[G3]]+('Intervention Simulator'!$C$2*1.5)</f>
        <v>12</v>
      </c>
      <c r="AQ207" t="str">
        <f>IF(StudentData[[#This Row],[ProjectedGrade]]&gt;=10,"Pass","Fail")</f>
        <v>Pass</v>
      </c>
    </row>
    <row r="208" spans="1:43" x14ac:dyDescent="0.3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  <c r="AH208" t="str">
        <f>IF(StudentData[[#This Row],[G3]]&gt;=10,"Pass","Fail")</f>
        <v>Pass</v>
      </c>
      <c r="AI208">
        <f>IF(StudentData[[#This Row],[G3]]&lt;StudentData[[#This Row],[G2]],1,0)</f>
        <v>0</v>
      </c>
      <c r="AJ208">
        <f>IF(StudentData[[#This Row],[failures]]&gt;=2,100,IF(StudentData[[#This Row],[failures]]=1,60,0))</f>
        <v>0</v>
      </c>
      <c r="AK208">
        <f>IF(StudentData[[#This Row],[absences]]&gt;15,80,IF(StudentData[[#This Row],[absences]]&gt;10,50,0))</f>
        <v>80</v>
      </c>
      <c r="AL208">
        <f>IF(StudentData[[#This Row],[studytime]]=1,70,IF(StudentData[[#This Row],[studytime]]=2,40,0))</f>
        <v>40</v>
      </c>
      <c r="AM208">
        <f>IF(StudentData[[#This Row],[GradeDrop]]=1,50,0)</f>
        <v>0</v>
      </c>
      <c r="AN208">
        <f>0.4*StudentData[[#This Row],[FailureScore]]+0.3*StudentData[[#This Row],[AbsenceScore]]+0.2*StudentData[[#This Row],[StudyRisk]]+0.1*StudentData[[#This Row],[TrendRisk]]</f>
        <v>32</v>
      </c>
      <c r="AO208" t="str">
        <f>IF(StudentData[[#This Row],[RiskIndex]]&lt;=30,"Low",IF(StudentData[[#This Row],[RiskIndex]]&lt;=60,"Medium","High"))</f>
        <v>Medium</v>
      </c>
      <c r="AP208">
        <f>StudentData[[#This Row],[G3]]+('Intervention Simulator'!$C$2*1.5)</f>
        <v>12</v>
      </c>
      <c r="AQ208" t="str">
        <f>IF(StudentData[[#This Row],[ProjectedGrade]]&gt;=10,"Pass","Fail")</f>
        <v>Pass</v>
      </c>
    </row>
    <row r="209" spans="1:43" x14ac:dyDescent="0.3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  <c r="AH209" t="str">
        <f>IF(StudentData[[#This Row],[G3]]&gt;=10,"Pass","Fail")</f>
        <v>Pass</v>
      </c>
      <c r="AI209">
        <f>IF(StudentData[[#This Row],[G3]]&lt;StudentData[[#This Row],[G2]],1,0)</f>
        <v>0</v>
      </c>
      <c r="AJ209">
        <f>IF(StudentData[[#This Row],[failures]]&gt;=2,100,IF(StudentData[[#This Row],[failures]]=1,60,0))</f>
        <v>0</v>
      </c>
      <c r="AK209">
        <f>IF(StudentData[[#This Row],[absences]]&gt;15,80,IF(StudentData[[#This Row],[absences]]&gt;10,50,0))</f>
        <v>0</v>
      </c>
      <c r="AL209">
        <f>IF(StudentData[[#This Row],[studytime]]=1,70,IF(StudentData[[#This Row],[studytime]]=2,40,0))</f>
        <v>70</v>
      </c>
      <c r="AM209">
        <f>IF(StudentData[[#This Row],[GradeDrop]]=1,50,0)</f>
        <v>0</v>
      </c>
      <c r="AN209">
        <f>0.4*StudentData[[#This Row],[FailureScore]]+0.3*StudentData[[#This Row],[AbsenceScore]]+0.2*StudentData[[#This Row],[StudyRisk]]+0.1*StudentData[[#This Row],[TrendRisk]]</f>
        <v>14</v>
      </c>
      <c r="AO209" t="str">
        <f>IF(StudentData[[#This Row],[RiskIndex]]&lt;=30,"Low",IF(StudentData[[#This Row],[RiskIndex]]&lt;=60,"Medium","High"))</f>
        <v>Low</v>
      </c>
      <c r="AP209">
        <f>StudentData[[#This Row],[G3]]+('Intervention Simulator'!$C$2*1.5)</f>
        <v>10</v>
      </c>
      <c r="AQ209" t="str">
        <f>IF(StudentData[[#This Row],[ProjectedGrade]]&gt;=10,"Pass","Fail")</f>
        <v>Pass</v>
      </c>
    </row>
    <row r="210" spans="1:43" x14ac:dyDescent="0.3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  <c r="AH210" t="str">
        <f>IF(StudentData[[#This Row],[G3]]&gt;=10,"Pass","Fail")</f>
        <v>Pass</v>
      </c>
      <c r="AI210">
        <f>IF(StudentData[[#This Row],[G3]]&lt;StudentData[[#This Row],[G2]],1,0)</f>
        <v>0</v>
      </c>
      <c r="AJ210">
        <f>IF(StudentData[[#This Row],[failures]]&gt;=2,100,IF(StudentData[[#This Row],[failures]]=1,60,0))</f>
        <v>0</v>
      </c>
      <c r="AK210">
        <f>IF(StudentData[[#This Row],[absences]]&gt;15,80,IF(StudentData[[#This Row],[absences]]&gt;10,50,0))</f>
        <v>0</v>
      </c>
      <c r="AL210">
        <f>IF(StudentData[[#This Row],[studytime]]=1,70,IF(StudentData[[#This Row],[studytime]]=2,40,0))</f>
        <v>70</v>
      </c>
      <c r="AM210">
        <f>IF(StudentData[[#This Row],[GradeDrop]]=1,50,0)</f>
        <v>0</v>
      </c>
      <c r="AN210">
        <f>0.4*StudentData[[#This Row],[FailureScore]]+0.3*StudentData[[#This Row],[AbsenceScore]]+0.2*StudentData[[#This Row],[StudyRisk]]+0.1*StudentData[[#This Row],[TrendRisk]]</f>
        <v>14</v>
      </c>
      <c r="AO210" t="str">
        <f>IF(StudentData[[#This Row],[RiskIndex]]&lt;=30,"Low",IF(StudentData[[#This Row],[RiskIndex]]&lt;=60,"Medium","High"))</f>
        <v>Low</v>
      </c>
      <c r="AP210">
        <f>StudentData[[#This Row],[G3]]+('Intervention Simulator'!$C$2*1.5)</f>
        <v>12</v>
      </c>
      <c r="AQ210" t="str">
        <f>IF(StudentData[[#This Row],[ProjectedGrade]]&gt;=10,"Pass","Fail")</f>
        <v>Pass</v>
      </c>
    </row>
    <row r="211" spans="1:43" x14ac:dyDescent="0.3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  <c r="AH211" t="str">
        <f>IF(StudentData[[#This Row],[G3]]&gt;=10,"Pass","Fail")</f>
        <v>Pass</v>
      </c>
      <c r="AI211">
        <f>IF(StudentData[[#This Row],[G3]]&lt;StudentData[[#This Row],[G2]],1,0)</f>
        <v>0</v>
      </c>
      <c r="AJ211">
        <f>IF(StudentData[[#This Row],[failures]]&gt;=2,100,IF(StudentData[[#This Row],[failures]]=1,60,0))</f>
        <v>0</v>
      </c>
      <c r="AK211">
        <f>IF(StudentData[[#This Row],[absences]]&gt;15,80,IF(StudentData[[#This Row],[absences]]&gt;10,50,0))</f>
        <v>0</v>
      </c>
      <c r="AL211">
        <f>IF(StudentData[[#This Row],[studytime]]=1,70,IF(StudentData[[#This Row],[studytime]]=2,40,0))</f>
        <v>40</v>
      </c>
      <c r="AM211">
        <f>IF(StudentData[[#This Row],[GradeDrop]]=1,50,0)</f>
        <v>0</v>
      </c>
      <c r="AN211">
        <f>0.4*StudentData[[#This Row],[FailureScore]]+0.3*StudentData[[#This Row],[AbsenceScore]]+0.2*StudentData[[#This Row],[StudyRisk]]+0.1*StudentData[[#This Row],[TrendRisk]]</f>
        <v>8</v>
      </c>
      <c r="AO211" t="str">
        <f>IF(StudentData[[#This Row],[RiskIndex]]&lt;=30,"Low",IF(StudentData[[#This Row],[RiskIndex]]&lt;=60,"Medium","High"))</f>
        <v>Low</v>
      </c>
      <c r="AP211">
        <f>StudentData[[#This Row],[G3]]+('Intervention Simulator'!$C$2*1.5)</f>
        <v>16</v>
      </c>
      <c r="AQ211" t="str">
        <f>IF(StudentData[[#This Row],[ProjectedGrade]]&gt;=10,"Pass","Fail")</f>
        <v>Pass</v>
      </c>
    </row>
    <row r="212" spans="1:43" x14ac:dyDescent="0.3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  <c r="AH212" t="str">
        <f>IF(StudentData[[#This Row],[G3]]&gt;=10,"Pass","Fail")</f>
        <v>Pass</v>
      </c>
      <c r="AI212">
        <f>IF(StudentData[[#This Row],[G3]]&lt;StudentData[[#This Row],[G2]],1,0)</f>
        <v>0</v>
      </c>
      <c r="AJ212">
        <f>IF(StudentData[[#This Row],[failures]]&gt;=2,100,IF(StudentData[[#This Row],[failures]]=1,60,0))</f>
        <v>0</v>
      </c>
      <c r="AK212">
        <f>IF(StudentData[[#This Row],[absences]]&gt;15,80,IF(StudentData[[#This Row],[absences]]&gt;10,50,0))</f>
        <v>0</v>
      </c>
      <c r="AL212">
        <f>IF(StudentData[[#This Row],[studytime]]=1,70,IF(StudentData[[#This Row],[studytime]]=2,40,0))</f>
        <v>70</v>
      </c>
      <c r="AM212">
        <f>IF(StudentData[[#This Row],[GradeDrop]]=1,50,0)</f>
        <v>0</v>
      </c>
      <c r="AN212">
        <f>0.4*StudentData[[#This Row],[FailureScore]]+0.3*StudentData[[#This Row],[AbsenceScore]]+0.2*StudentData[[#This Row],[StudyRisk]]+0.1*StudentData[[#This Row],[TrendRisk]]</f>
        <v>14</v>
      </c>
      <c r="AO212" t="str">
        <f>IF(StudentData[[#This Row],[RiskIndex]]&lt;=30,"Low",IF(StudentData[[#This Row],[RiskIndex]]&lt;=60,"Medium","High"))</f>
        <v>Low</v>
      </c>
      <c r="AP212">
        <f>StudentData[[#This Row],[G3]]+('Intervention Simulator'!$C$2*1.5)</f>
        <v>14</v>
      </c>
      <c r="AQ212" t="str">
        <f>IF(StudentData[[#This Row],[ProjectedGrade]]&gt;=10,"Pass","Fail")</f>
        <v>Pass</v>
      </c>
    </row>
    <row r="213" spans="1:43" x14ac:dyDescent="0.3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  <c r="AH213" t="str">
        <f>IF(StudentData[[#This Row],[G3]]&gt;=10,"Pass","Fail")</f>
        <v>Pass</v>
      </c>
      <c r="AI213">
        <f>IF(StudentData[[#This Row],[G3]]&lt;StudentData[[#This Row],[G2]],1,0)</f>
        <v>0</v>
      </c>
      <c r="AJ213">
        <f>IF(StudentData[[#This Row],[failures]]&gt;=2,100,IF(StudentData[[#This Row],[failures]]=1,60,0))</f>
        <v>0</v>
      </c>
      <c r="AK213">
        <f>IF(StudentData[[#This Row],[absences]]&gt;15,80,IF(StudentData[[#This Row],[absences]]&gt;10,50,0))</f>
        <v>80</v>
      </c>
      <c r="AL213">
        <f>IF(StudentData[[#This Row],[studytime]]=1,70,IF(StudentData[[#This Row],[studytime]]=2,40,0))</f>
        <v>70</v>
      </c>
      <c r="AM213">
        <f>IF(StudentData[[#This Row],[GradeDrop]]=1,50,0)</f>
        <v>0</v>
      </c>
      <c r="AN213">
        <f>0.4*StudentData[[#This Row],[FailureScore]]+0.3*StudentData[[#This Row],[AbsenceScore]]+0.2*StudentData[[#This Row],[StudyRisk]]+0.1*StudentData[[#This Row],[TrendRisk]]</f>
        <v>38</v>
      </c>
      <c r="AO213" t="str">
        <f>IF(StudentData[[#This Row],[RiskIndex]]&lt;=30,"Low",IF(StudentData[[#This Row],[RiskIndex]]&lt;=60,"Medium","High"))</f>
        <v>Medium</v>
      </c>
      <c r="AP213">
        <f>StudentData[[#This Row],[G3]]+('Intervention Simulator'!$C$2*1.5)</f>
        <v>12</v>
      </c>
      <c r="AQ213" t="str">
        <f>IF(StudentData[[#This Row],[ProjectedGrade]]&gt;=10,"Pass","Fail")</f>
        <v>Pass</v>
      </c>
    </row>
    <row r="214" spans="1:43" x14ac:dyDescent="0.3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  <c r="AH214" t="str">
        <f>IF(StudentData[[#This Row],[G3]]&gt;=10,"Pass","Fail")</f>
        <v>Pass</v>
      </c>
      <c r="AI214">
        <f>IF(StudentData[[#This Row],[G3]]&lt;StudentData[[#This Row],[G2]],1,0)</f>
        <v>0</v>
      </c>
      <c r="AJ214">
        <f>IF(StudentData[[#This Row],[failures]]&gt;=2,100,IF(StudentData[[#This Row],[failures]]=1,60,0))</f>
        <v>60</v>
      </c>
      <c r="AK214">
        <f>IF(StudentData[[#This Row],[absences]]&gt;15,80,IF(StudentData[[#This Row],[absences]]&gt;10,50,0))</f>
        <v>80</v>
      </c>
      <c r="AL214">
        <f>IF(StudentData[[#This Row],[studytime]]=1,70,IF(StudentData[[#This Row],[studytime]]=2,40,0))</f>
        <v>70</v>
      </c>
      <c r="AM214">
        <f>IF(StudentData[[#This Row],[GradeDrop]]=1,50,0)</f>
        <v>0</v>
      </c>
      <c r="AN214">
        <f>0.4*StudentData[[#This Row],[FailureScore]]+0.3*StudentData[[#This Row],[AbsenceScore]]+0.2*StudentData[[#This Row],[StudyRisk]]+0.1*StudentData[[#This Row],[TrendRisk]]</f>
        <v>62</v>
      </c>
      <c r="AO214" t="str">
        <f>IF(StudentData[[#This Row],[RiskIndex]]&lt;=30,"Low",IF(StudentData[[#This Row],[RiskIndex]]&lt;=60,"Medium","High"))</f>
        <v>High</v>
      </c>
      <c r="AP214">
        <f>StudentData[[#This Row],[G3]]+('Intervention Simulator'!$C$2*1.5)</f>
        <v>16</v>
      </c>
      <c r="AQ214" t="str">
        <f>IF(StudentData[[#This Row],[ProjectedGrade]]&gt;=10,"Pass","Fail")</f>
        <v>Pass</v>
      </c>
    </row>
    <row r="215" spans="1:43" x14ac:dyDescent="0.3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  <c r="AH215" t="str">
        <f>IF(StudentData[[#This Row],[G3]]&gt;=10,"Pass","Fail")</f>
        <v>Pass</v>
      </c>
      <c r="AI215">
        <f>IF(StudentData[[#This Row],[G3]]&lt;StudentData[[#This Row],[G2]],1,0)</f>
        <v>0</v>
      </c>
      <c r="AJ215">
        <f>IF(StudentData[[#This Row],[failures]]&gt;=2,100,IF(StudentData[[#This Row],[failures]]=1,60,0))</f>
        <v>0</v>
      </c>
      <c r="AK215">
        <f>IF(StudentData[[#This Row],[absences]]&gt;15,80,IF(StudentData[[#This Row],[absences]]&gt;10,50,0))</f>
        <v>0</v>
      </c>
      <c r="AL215">
        <f>IF(StudentData[[#This Row],[studytime]]=1,70,IF(StudentData[[#This Row],[studytime]]=2,40,0))</f>
        <v>40</v>
      </c>
      <c r="AM215">
        <f>IF(StudentData[[#This Row],[GradeDrop]]=1,50,0)</f>
        <v>0</v>
      </c>
      <c r="AN215">
        <f>0.4*StudentData[[#This Row],[FailureScore]]+0.3*StudentData[[#This Row],[AbsenceScore]]+0.2*StudentData[[#This Row],[StudyRisk]]+0.1*StudentData[[#This Row],[TrendRisk]]</f>
        <v>8</v>
      </c>
      <c r="AO215" t="str">
        <f>IF(StudentData[[#This Row],[RiskIndex]]&lt;=30,"Low",IF(StudentData[[#This Row],[RiskIndex]]&lt;=60,"Medium","High"))</f>
        <v>Low</v>
      </c>
      <c r="AP215">
        <f>StudentData[[#This Row],[G3]]+('Intervention Simulator'!$C$2*1.5)</f>
        <v>11</v>
      </c>
      <c r="AQ215" t="str">
        <f>IF(StudentData[[#This Row],[ProjectedGrade]]&gt;=10,"Pass","Fail")</f>
        <v>Pass</v>
      </c>
    </row>
    <row r="216" spans="1:43" x14ac:dyDescent="0.3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  <c r="AH216" t="str">
        <f>IF(StudentData[[#This Row],[G3]]&gt;=10,"Pass","Fail")</f>
        <v>Pass</v>
      </c>
      <c r="AI216">
        <f>IF(StudentData[[#This Row],[G3]]&lt;StudentData[[#This Row],[G2]],1,0)</f>
        <v>0</v>
      </c>
      <c r="AJ216">
        <f>IF(StudentData[[#This Row],[failures]]&gt;=2,100,IF(StudentData[[#This Row],[failures]]=1,60,0))</f>
        <v>0</v>
      </c>
      <c r="AK216">
        <f>IF(StudentData[[#This Row],[absences]]&gt;15,80,IF(StudentData[[#This Row],[absences]]&gt;10,50,0))</f>
        <v>0</v>
      </c>
      <c r="AL216">
        <f>IF(StudentData[[#This Row],[studytime]]=1,70,IF(StudentData[[#This Row],[studytime]]=2,40,0))</f>
        <v>40</v>
      </c>
      <c r="AM216">
        <f>IF(StudentData[[#This Row],[GradeDrop]]=1,50,0)</f>
        <v>0</v>
      </c>
      <c r="AN216">
        <f>0.4*StudentData[[#This Row],[FailureScore]]+0.3*StudentData[[#This Row],[AbsenceScore]]+0.2*StudentData[[#This Row],[StudyRisk]]+0.1*StudentData[[#This Row],[TrendRisk]]</f>
        <v>8</v>
      </c>
      <c r="AO216" t="str">
        <f>IF(StudentData[[#This Row],[RiskIndex]]&lt;=30,"Low",IF(StudentData[[#This Row],[RiskIndex]]&lt;=60,"Medium","High"))</f>
        <v>Low</v>
      </c>
      <c r="AP216">
        <f>StudentData[[#This Row],[G3]]+('Intervention Simulator'!$C$2*1.5)</f>
        <v>15</v>
      </c>
      <c r="AQ216" t="str">
        <f>IF(StudentData[[#This Row],[ProjectedGrade]]&gt;=10,"Pass","Fail")</f>
        <v>Pass</v>
      </c>
    </row>
    <row r="217" spans="1:43" x14ac:dyDescent="0.3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  <c r="AH217" t="str">
        <f>IF(StudentData[[#This Row],[G3]]&gt;=10,"Pass","Fail")</f>
        <v>Pass</v>
      </c>
      <c r="AI217">
        <f>IF(StudentData[[#This Row],[G3]]&lt;StudentData[[#This Row],[G2]],1,0)</f>
        <v>0</v>
      </c>
      <c r="AJ217">
        <f>IF(StudentData[[#This Row],[failures]]&gt;=2,100,IF(StudentData[[#This Row],[failures]]=1,60,0))</f>
        <v>0</v>
      </c>
      <c r="AK217">
        <f>IF(StudentData[[#This Row],[absences]]&gt;15,80,IF(StudentData[[#This Row],[absences]]&gt;10,50,0))</f>
        <v>0</v>
      </c>
      <c r="AL217">
        <f>IF(StudentData[[#This Row],[studytime]]=1,70,IF(StudentData[[#This Row],[studytime]]=2,40,0))</f>
        <v>40</v>
      </c>
      <c r="AM217">
        <f>IF(StudentData[[#This Row],[GradeDrop]]=1,50,0)</f>
        <v>0</v>
      </c>
      <c r="AN217">
        <f>0.4*StudentData[[#This Row],[FailureScore]]+0.3*StudentData[[#This Row],[AbsenceScore]]+0.2*StudentData[[#This Row],[StudyRisk]]+0.1*StudentData[[#This Row],[TrendRisk]]</f>
        <v>8</v>
      </c>
      <c r="AO217" t="str">
        <f>IF(StudentData[[#This Row],[RiskIndex]]&lt;=30,"Low",IF(StudentData[[#This Row],[RiskIndex]]&lt;=60,"Medium","High"))</f>
        <v>Low</v>
      </c>
      <c r="AP217">
        <f>StudentData[[#This Row],[G3]]+('Intervention Simulator'!$C$2*1.5)</f>
        <v>12</v>
      </c>
      <c r="AQ217" t="str">
        <f>IF(StudentData[[#This Row],[ProjectedGrade]]&gt;=10,"Pass","Fail")</f>
        <v>Pass</v>
      </c>
    </row>
    <row r="218" spans="1:4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  <c r="AH218" t="str">
        <f>IF(StudentData[[#This Row],[G3]]&gt;=10,"Pass","Fail")</f>
        <v>Pass</v>
      </c>
      <c r="AI218">
        <f>IF(StudentData[[#This Row],[G3]]&lt;StudentData[[#This Row],[G2]],1,0)</f>
        <v>0</v>
      </c>
      <c r="AJ218">
        <f>IF(StudentData[[#This Row],[failures]]&gt;=2,100,IF(StudentData[[#This Row],[failures]]=1,60,0))</f>
        <v>0</v>
      </c>
      <c r="AK218">
        <f>IF(StudentData[[#This Row],[absences]]&gt;15,80,IF(StudentData[[#This Row],[absences]]&gt;10,50,0))</f>
        <v>0</v>
      </c>
      <c r="AL218">
        <f>IF(StudentData[[#This Row],[studytime]]=1,70,IF(StudentData[[#This Row],[studytime]]=2,40,0))</f>
        <v>40</v>
      </c>
      <c r="AM218">
        <f>IF(StudentData[[#This Row],[GradeDrop]]=1,50,0)</f>
        <v>0</v>
      </c>
      <c r="AN218">
        <f>0.4*StudentData[[#This Row],[FailureScore]]+0.3*StudentData[[#This Row],[AbsenceScore]]+0.2*StudentData[[#This Row],[StudyRisk]]+0.1*StudentData[[#This Row],[TrendRisk]]</f>
        <v>8</v>
      </c>
      <c r="AO218" t="str">
        <f>IF(StudentData[[#This Row],[RiskIndex]]&lt;=30,"Low",IF(StudentData[[#This Row],[RiskIndex]]&lt;=60,"Medium","High"))</f>
        <v>Low</v>
      </c>
      <c r="AP218">
        <f>StudentData[[#This Row],[G3]]+('Intervention Simulator'!$C$2*1.5)</f>
        <v>15</v>
      </c>
      <c r="AQ218" t="str">
        <f>IF(StudentData[[#This Row],[ProjectedGrade]]&gt;=10,"Pass","Fail")</f>
        <v>Pass</v>
      </c>
    </row>
    <row r="219" spans="1:43" x14ac:dyDescent="0.3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  <c r="AH219" t="str">
        <f>IF(StudentData[[#This Row],[G3]]&gt;=10,"Pass","Fail")</f>
        <v>Pass</v>
      </c>
      <c r="AI219">
        <f>IF(StudentData[[#This Row],[G3]]&lt;StudentData[[#This Row],[G2]],1,0)</f>
        <v>0</v>
      </c>
      <c r="AJ219">
        <f>IF(StudentData[[#This Row],[failures]]&gt;=2,100,IF(StudentData[[#This Row],[failures]]=1,60,0))</f>
        <v>0</v>
      </c>
      <c r="AK219">
        <f>IF(StudentData[[#This Row],[absences]]&gt;15,80,IF(StudentData[[#This Row],[absences]]&gt;10,50,0))</f>
        <v>80</v>
      </c>
      <c r="AL219">
        <f>IF(StudentData[[#This Row],[studytime]]=1,70,IF(StudentData[[#This Row],[studytime]]=2,40,0))</f>
        <v>70</v>
      </c>
      <c r="AM219">
        <f>IF(StudentData[[#This Row],[GradeDrop]]=1,50,0)</f>
        <v>0</v>
      </c>
      <c r="AN219">
        <f>0.4*StudentData[[#This Row],[FailureScore]]+0.3*StudentData[[#This Row],[AbsenceScore]]+0.2*StudentData[[#This Row],[StudyRisk]]+0.1*StudentData[[#This Row],[TrendRisk]]</f>
        <v>38</v>
      </c>
      <c r="AO219" t="str">
        <f>IF(StudentData[[#This Row],[RiskIndex]]&lt;=30,"Low",IF(StudentData[[#This Row],[RiskIndex]]&lt;=60,"Medium","High"))</f>
        <v>Medium</v>
      </c>
      <c r="AP219">
        <f>StudentData[[#This Row],[G3]]+('Intervention Simulator'!$C$2*1.5)</f>
        <v>13</v>
      </c>
      <c r="AQ219" t="str">
        <f>IF(StudentData[[#This Row],[ProjectedGrade]]&gt;=10,"Pass","Fail")</f>
        <v>Pass</v>
      </c>
    </row>
    <row r="220" spans="1:43" x14ac:dyDescent="0.3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  <c r="AH220" t="str">
        <f>IF(StudentData[[#This Row],[G3]]&gt;=10,"Pass","Fail")</f>
        <v>Pass</v>
      </c>
      <c r="AI220">
        <f>IF(StudentData[[#This Row],[G3]]&lt;StudentData[[#This Row],[G2]],1,0)</f>
        <v>0</v>
      </c>
      <c r="AJ220">
        <f>IF(StudentData[[#This Row],[failures]]&gt;=2,100,IF(StudentData[[#This Row],[failures]]=1,60,0))</f>
        <v>0</v>
      </c>
      <c r="AK220">
        <f>IF(StudentData[[#This Row],[absences]]&gt;15,80,IF(StudentData[[#This Row],[absences]]&gt;10,50,0))</f>
        <v>0</v>
      </c>
      <c r="AL220">
        <f>IF(StudentData[[#This Row],[studytime]]=1,70,IF(StudentData[[#This Row],[studytime]]=2,40,0))</f>
        <v>0</v>
      </c>
      <c r="AM220">
        <f>IF(StudentData[[#This Row],[GradeDrop]]=1,50,0)</f>
        <v>0</v>
      </c>
      <c r="AN220">
        <f>0.4*StudentData[[#This Row],[FailureScore]]+0.3*StudentData[[#This Row],[AbsenceScore]]+0.2*StudentData[[#This Row],[StudyRisk]]+0.1*StudentData[[#This Row],[TrendRisk]]</f>
        <v>0</v>
      </c>
      <c r="AO220" t="str">
        <f>IF(StudentData[[#This Row],[RiskIndex]]&lt;=30,"Low",IF(StudentData[[#This Row],[RiskIndex]]&lt;=60,"Medium","High"))</f>
        <v>Low</v>
      </c>
      <c r="AP220">
        <f>StudentData[[#This Row],[G3]]+('Intervention Simulator'!$C$2*1.5)</f>
        <v>13</v>
      </c>
      <c r="AQ220" t="str">
        <f>IF(StudentData[[#This Row],[ProjectedGrade]]&gt;=10,"Pass","Fail")</f>
        <v>Pass</v>
      </c>
    </row>
    <row r="221" spans="1:4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  <c r="AH221" t="str">
        <f>IF(StudentData[[#This Row],[G3]]&gt;=10,"Pass","Fail")</f>
        <v>Fail</v>
      </c>
      <c r="AI221">
        <f>IF(StudentData[[#This Row],[G3]]&lt;StudentData[[#This Row],[G2]],1,0)</f>
        <v>1</v>
      </c>
      <c r="AJ221">
        <f>IF(StudentData[[#This Row],[failures]]&gt;=2,100,IF(StudentData[[#This Row],[failures]]=1,60,0))</f>
        <v>60</v>
      </c>
      <c r="AK221">
        <f>IF(StudentData[[#This Row],[absences]]&gt;15,80,IF(StudentData[[#This Row],[absences]]&gt;10,50,0))</f>
        <v>50</v>
      </c>
      <c r="AL221">
        <f>IF(StudentData[[#This Row],[studytime]]=1,70,IF(StudentData[[#This Row],[studytime]]=2,40,0))</f>
        <v>0</v>
      </c>
      <c r="AM221">
        <f>IF(StudentData[[#This Row],[GradeDrop]]=1,50,0)</f>
        <v>50</v>
      </c>
      <c r="AN221">
        <f>0.4*StudentData[[#This Row],[FailureScore]]+0.3*StudentData[[#This Row],[AbsenceScore]]+0.2*StudentData[[#This Row],[StudyRisk]]+0.1*StudentData[[#This Row],[TrendRisk]]</f>
        <v>44</v>
      </c>
      <c r="AO221" t="str">
        <f>IF(StudentData[[#This Row],[RiskIndex]]&lt;=30,"Low",IF(StudentData[[#This Row],[RiskIndex]]&lt;=60,"Medium","High"))</f>
        <v>Medium</v>
      </c>
      <c r="AP221">
        <f>StudentData[[#This Row],[G3]]+('Intervention Simulator'!$C$2*1.5)</f>
        <v>8</v>
      </c>
      <c r="AQ221" t="str">
        <f>IF(StudentData[[#This Row],[ProjectedGrade]]&gt;=10,"Pass","Fail")</f>
        <v>Fail</v>
      </c>
    </row>
    <row r="222" spans="1:43" x14ac:dyDescent="0.3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  <c r="AH222" t="str">
        <f>IF(StudentData[[#This Row],[G3]]&gt;=10,"Pass","Fail")</f>
        <v>Pass</v>
      </c>
      <c r="AI222">
        <f>IF(StudentData[[#This Row],[G3]]&lt;StudentData[[#This Row],[G2]],1,0)</f>
        <v>0</v>
      </c>
      <c r="AJ222">
        <f>IF(StudentData[[#This Row],[failures]]&gt;=2,100,IF(StudentData[[#This Row],[failures]]=1,60,0))</f>
        <v>0</v>
      </c>
      <c r="AK222">
        <f>IF(StudentData[[#This Row],[absences]]&gt;15,80,IF(StudentData[[#This Row],[absences]]&gt;10,50,0))</f>
        <v>0</v>
      </c>
      <c r="AL222">
        <f>IF(StudentData[[#This Row],[studytime]]=1,70,IF(StudentData[[#This Row],[studytime]]=2,40,0))</f>
        <v>40</v>
      </c>
      <c r="AM222">
        <f>IF(StudentData[[#This Row],[GradeDrop]]=1,50,0)</f>
        <v>0</v>
      </c>
      <c r="AN222">
        <f>0.4*StudentData[[#This Row],[FailureScore]]+0.3*StudentData[[#This Row],[AbsenceScore]]+0.2*StudentData[[#This Row],[StudyRisk]]+0.1*StudentData[[#This Row],[TrendRisk]]</f>
        <v>8</v>
      </c>
      <c r="AO222" t="str">
        <f>IF(StudentData[[#This Row],[RiskIndex]]&lt;=30,"Low",IF(StudentData[[#This Row],[RiskIndex]]&lt;=60,"Medium","High"))</f>
        <v>Low</v>
      </c>
      <c r="AP222">
        <f>StudentData[[#This Row],[G3]]+('Intervention Simulator'!$C$2*1.5)</f>
        <v>12</v>
      </c>
      <c r="AQ222" t="str">
        <f>IF(StudentData[[#This Row],[ProjectedGrade]]&gt;=10,"Pass","Fail")</f>
        <v>Pass</v>
      </c>
    </row>
    <row r="223" spans="1:43" x14ac:dyDescent="0.3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  <c r="AH223" t="str">
        <f>IF(StudentData[[#This Row],[G3]]&gt;=10,"Pass","Fail")</f>
        <v>Pass</v>
      </c>
      <c r="AI223">
        <f>IF(StudentData[[#This Row],[G3]]&lt;StudentData[[#This Row],[G2]],1,0)</f>
        <v>0</v>
      </c>
      <c r="AJ223">
        <f>IF(StudentData[[#This Row],[failures]]&gt;=2,100,IF(StudentData[[#This Row],[failures]]=1,60,0))</f>
        <v>0</v>
      </c>
      <c r="AK223">
        <f>IF(StudentData[[#This Row],[absences]]&gt;15,80,IF(StudentData[[#This Row],[absences]]&gt;10,50,0))</f>
        <v>0</v>
      </c>
      <c r="AL223">
        <f>IF(StudentData[[#This Row],[studytime]]=1,70,IF(StudentData[[#This Row],[studytime]]=2,40,0))</f>
        <v>40</v>
      </c>
      <c r="AM223">
        <f>IF(StudentData[[#This Row],[GradeDrop]]=1,50,0)</f>
        <v>0</v>
      </c>
      <c r="AN223">
        <f>0.4*StudentData[[#This Row],[FailureScore]]+0.3*StudentData[[#This Row],[AbsenceScore]]+0.2*StudentData[[#This Row],[StudyRisk]]+0.1*StudentData[[#This Row],[TrendRisk]]</f>
        <v>8</v>
      </c>
      <c r="AO223" t="str">
        <f>IF(StudentData[[#This Row],[RiskIndex]]&lt;=30,"Low",IF(StudentData[[#This Row],[RiskIndex]]&lt;=60,"Medium","High"))</f>
        <v>Low</v>
      </c>
      <c r="AP223">
        <f>StudentData[[#This Row],[G3]]+('Intervention Simulator'!$C$2*1.5)</f>
        <v>15</v>
      </c>
      <c r="AQ223" t="str">
        <f>IF(StudentData[[#This Row],[ProjectedGrade]]&gt;=10,"Pass","Fail")</f>
        <v>Pass</v>
      </c>
    </row>
    <row r="224" spans="1:4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  <c r="AH224" t="str">
        <f>IF(StudentData[[#This Row],[G3]]&gt;=10,"Pass","Fail")</f>
        <v>Pass</v>
      </c>
      <c r="AI224">
        <f>IF(StudentData[[#This Row],[G3]]&lt;StudentData[[#This Row],[G2]],1,0)</f>
        <v>0</v>
      </c>
      <c r="AJ224">
        <f>IF(StudentData[[#This Row],[failures]]&gt;=2,100,IF(StudentData[[#This Row],[failures]]=1,60,0))</f>
        <v>0</v>
      </c>
      <c r="AK224">
        <f>IF(StudentData[[#This Row],[absences]]&gt;15,80,IF(StudentData[[#This Row],[absences]]&gt;10,50,0))</f>
        <v>0</v>
      </c>
      <c r="AL224">
        <f>IF(StudentData[[#This Row],[studytime]]=1,70,IF(StudentData[[#This Row],[studytime]]=2,40,0))</f>
        <v>70</v>
      </c>
      <c r="AM224">
        <f>IF(StudentData[[#This Row],[GradeDrop]]=1,50,0)</f>
        <v>0</v>
      </c>
      <c r="AN224">
        <f>0.4*StudentData[[#This Row],[FailureScore]]+0.3*StudentData[[#This Row],[AbsenceScore]]+0.2*StudentData[[#This Row],[StudyRisk]]+0.1*StudentData[[#This Row],[TrendRisk]]</f>
        <v>14</v>
      </c>
      <c r="AO224" t="str">
        <f>IF(StudentData[[#This Row],[RiskIndex]]&lt;=30,"Low",IF(StudentData[[#This Row],[RiskIndex]]&lt;=60,"Medium","High"))</f>
        <v>Low</v>
      </c>
      <c r="AP224">
        <f>StudentData[[#This Row],[G3]]+('Intervention Simulator'!$C$2*1.5)</f>
        <v>13</v>
      </c>
      <c r="AQ224" t="str">
        <f>IF(StudentData[[#This Row],[ProjectedGrade]]&gt;=10,"Pass","Fail")</f>
        <v>Pass</v>
      </c>
    </row>
    <row r="225" spans="1:43" x14ac:dyDescent="0.3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  <c r="AH225" t="str">
        <f>IF(StudentData[[#This Row],[G3]]&gt;=10,"Pass","Fail")</f>
        <v>Pass</v>
      </c>
      <c r="AI225">
        <f>IF(StudentData[[#This Row],[G3]]&lt;StudentData[[#This Row],[G2]],1,0)</f>
        <v>0</v>
      </c>
      <c r="AJ225">
        <f>IF(StudentData[[#This Row],[failures]]&gt;=2,100,IF(StudentData[[#This Row],[failures]]=1,60,0))</f>
        <v>0</v>
      </c>
      <c r="AK225">
        <f>IF(StudentData[[#This Row],[absences]]&gt;15,80,IF(StudentData[[#This Row],[absences]]&gt;10,50,0))</f>
        <v>0</v>
      </c>
      <c r="AL225">
        <f>IF(StudentData[[#This Row],[studytime]]=1,70,IF(StudentData[[#This Row],[studytime]]=2,40,0))</f>
        <v>0</v>
      </c>
      <c r="AM225">
        <f>IF(StudentData[[#This Row],[GradeDrop]]=1,50,0)</f>
        <v>0</v>
      </c>
      <c r="AN225">
        <f>0.4*StudentData[[#This Row],[FailureScore]]+0.3*StudentData[[#This Row],[AbsenceScore]]+0.2*StudentData[[#This Row],[StudyRisk]]+0.1*StudentData[[#This Row],[TrendRisk]]</f>
        <v>0</v>
      </c>
      <c r="AO225" t="str">
        <f>IF(StudentData[[#This Row],[RiskIndex]]&lt;=30,"Low",IF(StudentData[[#This Row],[RiskIndex]]&lt;=60,"Medium","High"))</f>
        <v>Low</v>
      </c>
      <c r="AP225">
        <f>StudentData[[#This Row],[G3]]+('Intervention Simulator'!$C$2*1.5)</f>
        <v>12</v>
      </c>
      <c r="AQ225" t="str">
        <f>IF(StudentData[[#This Row],[ProjectedGrade]]&gt;=10,"Pass","Fail")</f>
        <v>Pass</v>
      </c>
    </row>
    <row r="226" spans="1:43" x14ac:dyDescent="0.3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  <c r="AH226" t="str">
        <f>IF(StudentData[[#This Row],[G3]]&gt;=10,"Pass","Fail")</f>
        <v>Pass</v>
      </c>
      <c r="AI226">
        <f>IF(StudentData[[#This Row],[G3]]&lt;StudentData[[#This Row],[G2]],1,0)</f>
        <v>0</v>
      </c>
      <c r="AJ226">
        <f>IF(StudentData[[#This Row],[failures]]&gt;=2,100,IF(StudentData[[#This Row],[failures]]=1,60,0))</f>
        <v>0</v>
      </c>
      <c r="AK226">
        <f>IF(StudentData[[#This Row],[absences]]&gt;15,80,IF(StudentData[[#This Row],[absences]]&gt;10,50,0))</f>
        <v>0</v>
      </c>
      <c r="AL226">
        <f>IF(StudentData[[#This Row],[studytime]]=1,70,IF(StudentData[[#This Row],[studytime]]=2,40,0))</f>
        <v>0</v>
      </c>
      <c r="AM226">
        <f>IF(StudentData[[#This Row],[GradeDrop]]=1,50,0)</f>
        <v>0</v>
      </c>
      <c r="AN226">
        <f>0.4*StudentData[[#This Row],[FailureScore]]+0.3*StudentData[[#This Row],[AbsenceScore]]+0.2*StudentData[[#This Row],[StudyRisk]]+0.1*StudentData[[#This Row],[TrendRisk]]</f>
        <v>0</v>
      </c>
      <c r="AO226" t="str">
        <f>IF(StudentData[[#This Row],[RiskIndex]]&lt;=30,"Low",IF(StudentData[[#This Row],[RiskIndex]]&lt;=60,"Medium","High"))</f>
        <v>Low</v>
      </c>
      <c r="AP226">
        <f>StudentData[[#This Row],[G3]]+('Intervention Simulator'!$C$2*1.5)</f>
        <v>12</v>
      </c>
      <c r="AQ226" t="str">
        <f>IF(StudentData[[#This Row],[ProjectedGrade]]&gt;=10,"Pass","Fail")</f>
        <v>Pass</v>
      </c>
    </row>
    <row r="227" spans="1:43" x14ac:dyDescent="0.3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  <c r="AH227" t="str">
        <f>IF(StudentData[[#This Row],[G3]]&gt;=10,"Pass","Fail")</f>
        <v>Pass</v>
      </c>
      <c r="AI227">
        <f>IF(StudentData[[#This Row],[G3]]&lt;StudentData[[#This Row],[G2]],1,0)</f>
        <v>0</v>
      </c>
      <c r="AJ227">
        <f>IF(StudentData[[#This Row],[failures]]&gt;=2,100,IF(StudentData[[#This Row],[failures]]=1,60,0))</f>
        <v>0</v>
      </c>
      <c r="AK227">
        <f>IF(StudentData[[#This Row],[absences]]&gt;15,80,IF(StudentData[[#This Row],[absences]]&gt;10,50,0))</f>
        <v>50</v>
      </c>
      <c r="AL227">
        <f>IF(StudentData[[#This Row],[studytime]]=1,70,IF(StudentData[[#This Row],[studytime]]=2,40,0))</f>
        <v>40</v>
      </c>
      <c r="AM227">
        <f>IF(StudentData[[#This Row],[GradeDrop]]=1,50,0)</f>
        <v>0</v>
      </c>
      <c r="AN227">
        <f>0.4*StudentData[[#This Row],[FailureScore]]+0.3*StudentData[[#This Row],[AbsenceScore]]+0.2*StudentData[[#This Row],[StudyRisk]]+0.1*StudentData[[#This Row],[TrendRisk]]</f>
        <v>23</v>
      </c>
      <c r="AO227" t="str">
        <f>IF(StudentData[[#This Row],[RiskIndex]]&lt;=30,"Low",IF(StudentData[[#This Row],[RiskIndex]]&lt;=60,"Medium","High"))</f>
        <v>Low</v>
      </c>
      <c r="AP227">
        <f>StudentData[[#This Row],[G3]]+('Intervention Simulator'!$C$2*1.5)</f>
        <v>12</v>
      </c>
      <c r="AQ227" t="str">
        <f>IF(StudentData[[#This Row],[ProjectedGrade]]&gt;=10,"Pass","Fail")</f>
        <v>Pass</v>
      </c>
    </row>
    <row r="228" spans="1:43" x14ac:dyDescent="0.3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  <c r="AH228" t="str">
        <f>IF(StudentData[[#This Row],[G3]]&gt;=10,"Pass","Fail")</f>
        <v>Pass</v>
      </c>
      <c r="AI228">
        <f>IF(StudentData[[#This Row],[G3]]&lt;StudentData[[#This Row],[G2]],1,0)</f>
        <v>0</v>
      </c>
      <c r="AJ228">
        <f>IF(StudentData[[#This Row],[failures]]&gt;=2,100,IF(StudentData[[#This Row],[failures]]=1,60,0))</f>
        <v>0</v>
      </c>
      <c r="AK228">
        <f>IF(StudentData[[#This Row],[absences]]&gt;15,80,IF(StudentData[[#This Row],[absences]]&gt;10,50,0))</f>
        <v>0</v>
      </c>
      <c r="AL228">
        <f>IF(StudentData[[#This Row],[studytime]]=1,70,IF(StudentData[[#This Row],[studytime]]=2,40,0))</f>
        <v>40</v>
      </c>
      <c r="AM228">
        <f>IF(StudentData[[#This Row],[GradeDrop]]=1,50,0)</f>
        <v>0</v>
      </c>
      <c r="AN228">
        <f>0.4*StudentData[[#This Row],[FailureScore]]+0.3*StudentData[[#This Row],[AbsenceScore]]+0.2*StudentData[[#This Row],[StudyRisk]]+0.1*StudentData[[#This Row],[TrendRisk]]</f>
        <v>8</v>
      </c>
      <c r="AO228" t="str">
        <f>IF(StudentData[[#This Row],[RiskIndex]]&lt;=30,"Low",IF(StudentData[[#This Row],[RiskIndex]]&lt;=60,"Medium","High"))</f>
        <v>Low</v>
      </c>
      <c r="AP228">
        <f>StudentData[[#This Row],[G3]]+('Intervention Simulator'!$C$2*1.5)</f>
        <v>13</v>
      </c>
      <c r="AQ228" t="str">
        <f>IF(StudentData[[#This Row],[ProjectedGrade]]&gt;=10,"Pass","Fail")</f>
        <v>Pass</v>
      </c>
    </row>
    <row r="229" spans="1:43" x14ac:dyDescent="0.3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  <c r="AH229" t="str">
        <f>IF(StudentData[[#This Row],[G3]]&gt;=10,"Pass","Fail")</f>
        <v>Pass</v>
      </c>
      <c r="AI229">
        <f>IF(StudentData[[#This Row],[G3]]&lt;StudentData[[#This Row],[G2]],1,0)</f>
        <v>0</v>
      </c>
      <c r="AJ229">
        <f>IF(StudentData[[#This Row],[failures]]&gt;=2,100,IF(StudentData[[#This Row],[failures]]=1,60,0))</f>
        <v>0</v>
      </c>
      <c r="AK229">
        <f>IF(StudentData[[#This Row],[absences]]&gt;15,80,IF(StudentData[[#This Row],[absences]]&gt;10,50,0))</f>
        <v>0</v>
      </c>
      <c r="AL229">
        <f>IF(StudentData[[#This Row],[studytime]]=1,70,IF(StudentData[[#This Row],[studytime]]=2,40,0))</f>
        <v>40</v>
      </c>
      <c r="AM229">
        <f>IF(StudentData[[#This Row],[GradeDrop]]=1,50,0)</f>
        <v>0</v>
      </c>
      <c r="AN229">
        <f>0.4*StudentData[[#This Row],[FailureScore]]+0.3*StudentData[[#This Row],[AbsenceScore]]+0.2*StudentData[[#This Row],[StudyRisk]]+0.1*StudentData[[#This Row],[TrendRisk]]</f>
        <v>8</v>
      </c>
      <c r="AO229" t="str">
        <f>IF(StudentData[[#This Row],[RiskIndex]]&lt;=30,"Low",IF(StudentData[[#This Row],[RiskIndex]]&lt;=60,"Medium","High"))</f>
        <v>Low</v>
      </c>
      <c r="AP229">
        <f>StudentData[[#This Row],[G3]]+('Intervention Simulator'!$C$2*1.5)</f>
        <v>11</v>
      </c>
      <c r="AQ229" t="str">
        <f>IF(StudentData[[#This Row],[ProjectedGrade]]&gt;=10,"Pass","Fail")</f>
        <v>Pass</v>
      </c>
    </row>
    <row r="230" spans="1:43" x14ac:dyDescent="0.3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  <c r="AH230" t="str">
        <f>IF(StudentData[[#This Row],[G3]]&gt;=10,"Pass","Fail")</f>
        <v>Pass</v>
      </c>
      <c r="AI230">
        <f>IF(StudentData[[#This Row],[G3]]&lt;StudentData[[#This Row],[G2]],1,0)</f>
        <v>0</v>
      </c>
      <c r="AJ230">
        <f>IF(StudentData[[#This Row],[failures]]&gt;=2,100,IF(StudentData[[#This Row],[failures]]=1,60,0))</f>
        <v>0</v>
      </c>
      <c r="AK230">
        <f>IF(StudentData[[#This Row],[absences]]&gt;15,80,IF(StudentData[[#This Row],[absences]]&gt;10,50,0))</f>
        <v>0</v>
      </c>
      <c r="AL230">
        <f>IF(StudentData[[#This Row],[studytime]]=1,70,IF(StudentData[[#This Row],[studytime]]=2,40,0))</f>
        <v>70</v>
      </c>
      <c r="AM230">
        <f>IF(StudentData[[#This Row],[GradeDrop]]=1,50,0)</f>
        <v>0</v>
      </c>
      <c r="AN230">
        <f>0.4*StudentData[[#This Row],[FailureScore]]+0.3*StudentData[[#This Row],[AbsenceScore]]+0.2*StudentData[[#This Row],[StudyRisk]]+0.1*StudentData[[#This Row],[TrendRisk]]</f>
        <v>14</v>
      </c>
      <c r="AO230" t="str">
        <f>IF(StudentData[[#This Row],[RiskIndex]]&lt;=30,"Low",IF(StudentData[[#This Row],[RiskIndex]]&lt;=60,"Medium","High"))</f>
        <v>Low</v>
      </c>
      <c r="AP230">
        <f>StudentData[[#This Row],[G3]]+('Intervention Simulator'!$C$2*1.5)</f>
        <v>11</v>
      </c>
      <c r="AQ230" t="str">
        <f>IF(StudentData[[#This Row],[ProjectedGrade]]&gt;=10,"Pass","Fail")</f>
        <v>Pass</v>
      </c>
    </row>
    <row r="231" spans="1:43" x14ac:dyDescent="0.3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  <c r="AH231" t="str">
        <f>IF(StudentData[[#This Row],[G3]]&gt;=10,"Pass","Fail")</f>
        <v>Pass</v>
      </c>
      <c r="AI231">
        <f>IF(StudentData[[#This Row],[G3]]&lt;StudentData[[#This Row],[G2]],1,0)</f>
        <v>1</v>
      </c>
      <c r="AJ231">
        <f>IF(StudentData[[#This Row],[failures]]&gt;=2,100,IF(StudentData[[#This Row],[failures]]=1,60,0))</f>
        <v>0</v>
      </c>
      <c r="AK231">
        <f>IF(StudentData[[#This Row],[absences]]&gt;15,80,IF(StudentData[[#This Row],[absences]]&gt;10,50,0))</f>
        <v>0</v>
      </c>
      <c r="AL231">
        <f>IF(StudentData[[#This Row],[studytime]]=1,70,IF(StudentData[[#This Row],[studytime]]=2,40,0))</f>
        <v>40</v>
      </c>
      <c r="AM231">
        <f>IF(StudentData[[#This Row],[GradeDrop]]=1,50,0)</f>
        <v>50</v>
      </c>
      <c r="AN231">
        <f>0.4*StudentData[[#This Row],[FailureScore]]+0.3*StudentData[[#This Row],[AbsenceScore]]+0.2*StudentData[[#This Row],[StudyRisk]]+0.1*StudentData[[#This Row],[TrendRisk]]</f>
        <v>13</v>
      </c>
      <c r="AO231" t="str">
        <f>IF(StudentData[[#This Row],[RiskIndex]]&lt;=30,"Low",IF(StudentData[[#This Row],[RiskIndex]]&lt;=60,"Medium","High"))</f>
        <v>Low</v>
      </c>
      <c r="AP231">
        <f>StudentData[[#This Row],[G3]]+('Intervention Simulator'!$C$2*1.5)</f>
        <v>15</v>
      </c>
      <c r="AQ231" t="str">
        <f>IF(StudentData[[#This Row],[ProjectedGrade]]&gt;=10,"Pass","Fail")</f>
        <v>Pass</v>
      </c>
    </row>
    <row r="232" spans="1:43" x14ac:dyDescent="0.3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  <c r="AH232" t="str">
        <f>IF(StudentData[[#This Row],[G3]]&gt;=10,"Pass","Fail")</f>
        <v>Pass</v>
      </c>
      <c r="AI232">
        <f>IF(StudentData[[#This Row],[G3]]&lt;StudentData[[#This Row],[G2]],1,0)</f>
        <v>0</v>
      </c>
      <c r="AJ232">
        <f>IF(StudentData[[#This Row],[failures]]&gt;=2,100,IF(StudentData[[#This Row],[failures]]=1,60,0))</f>
        <v>0</v>
      </c>
      <c r="AK232">
        <f>IF(StudentData[[#This Row],[absences]]&gt;15,80,IF(StudentData[[#This Row],[absences]]&gt;10,50,0))</f>
        <v>80</v>
      </c>
      <c r="AL232">
        <f>IF(StudentData[[#This Row],[studytime]]=1,70,IF(StudentData[[#This Row],[studytime]]=2,40,0))</f>
        <v>40</v>
      </c>
      <c r="AM232">
        <f>IF(StudentData[[#This Row],[GradeDrop]]=1,50,0)</f>
        <v>0</v>
      </c>
      <c r="AN232">
        <f>0.4*StudentData[[#This Row],[FailureScore]]+0.3*StudentData[[#This Row],[AbsenceScore]]+0.2*StudentData[[#This Row],[StudyRisk]]+0.1*StudentData[[#This Row],[TrendRisk]]</f>
        <v>32</v>
      </c>
      <c r="AO232" t="str">
        <f>IF(StudentData[[#This Row],[RiskIndex]]&lt;=30,"Low",IF(StudentData[[#This Row],[RiskIndex]]&lt;=60,"Medium","High"))</f>
        <v>Medium</v>
      </c>
      <c r="AP232">
        <f>StudentData[[#This Row],[G3]]+('Intervention Simulator'!$C$2*1.5)</f>
        <v>10</v>
      </c>
      <c r="AQ232" t="str">
        <f>IF(StudentData[[#This Row],[ProjectedGrade]]&gt;=10,"Pass","Fail")</f>
        <v>Pass</v>
      </c>
    </row>
    <row r="233" spans="1:43" x14ac:dyDescent="0.3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  <c r="AH233" t="str">
        <f>IF(StudentData[[#This Row],[G3]]&gt;=10,"Pass","Fail")</f>
        <v>Pass</v>
      </c>
      <c r="AI233">
        <f>IF(StudentData[[#This Row],[G3]]&lt;StudentData[[#This Row],[G2]],1,0)</f>
        <v>0</v>
      </c>
      <c r="AJ233">
        <f>IF(StudentData[[#This Row],[failures]]&gt;=2,100,IF(StudentData[[#This Row],[failures]]=1,60,0))</f>
        <v>0</v>
      </c>
      <c r="AK233">
        <f>IF(StudentData[[#This Row],[absences]]&gt;15,80,IF(StudentData[[#This Row],[absences]]&gt;10,50,0))</f>
        <v>0</v>
      </c>
      <c r="AL233">
        <f>IF(StudentData[[#This Row],[studytime]]=1,70,IF(StudentData[[#This Row],[studytime]]=2,40,0))</f>
        <v>40</v>
      </c>
      <c r="AM233">
        <f>IF(StudentData[[#This Row],[GradeDrop]]=1,50,0)</f>
        <v>0</v>
      </c>
      <c r="AN233">
        <f>0.4*StudentData[[#This Row],[FailureScore]]+0.3*StudentData[[#This Row],[AbsenceScore]]+0.2*StudentData[[#This Row],[StudyRisk]]+0.1*StudentData[[#This Row],[TrendRisk]]</f>
        <v>8</v>
      </c>
      <c r="AO233" t="str">
        <f>IF(StudentData[[#This Row],[RiskIndex]]&lt;=30,"Low",IF(StudentData[[#This Row],[RiskIndex]]&lt;=60,"Medium","High"))</f>
        <v>Low</v>
      </c>
      <c r="AP233">
        <f>StudentData[[#This Row],[G3]]+('Intervention Simulator'!$C$2*1.5)</f>
        <v>10</v>
      </c>
      <c r="AQ233" t="str">
        <f>IF(StudentData[[#This Row],[ProjectedGrade]]&gt;=10,"Pass","Fail")</f>
        <v>Pass</v>
      </c>
    </row>
    <row r="234" spans="1:43" x14ac:dyDescent="0.3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  <c r="AH234" t="str">
        <f>IF(StudentData[[#This Row],[G3]]&gt;=10,"Pass","Fail")</f>
        <v>Pass</v>
      </c>
      <c r="AI234">
        <f>IF(StudentData[[#This Row],[G3]]&lt;StudentData[[#This Row],[G2]],1,0)</f>
        <v>0</v>
      </c>
      <c r="AJ234">
        <f>IF(StudentData[[#This Row],[failures]]&gt;=2,100,IF(StudentData[[#This Row],[failures]]=1,60,0))</f>
        <v>0</v>
      </c>
      <c r="AK234">
        <f>IF(StudentData[[#This Row],[absences]]&gt;15,80,IF(StudentData[[#This Row],[absences]]&gt;10,50,0))</f>
        <v>0</v>
      </c>
      <c r="AL234">
        <f>IF(StudentData[[#This Row],[studytime]]=1,70,IF(StudentData[[#This Row],[studytime]]=2,40,0))</f>
        <v>70</v>
      </c>
      <c r="AM234">
        <f>IF(StudentData[[#This Row],[GradeDrop]]=1,50,0)</f>
        <v>0</v>
      </c>
      <c r="AN234">
        <f>0.4*StudentData[[#This Row],[FailureScore]]+0.3*StudentData[[#This Row],[AbsenceScore]]+0.2*StudentData[[#This Row],[StudyRisk]]+0.1*StudentData[[#This Row],[TrendRisk]]</f>
        <v>14</v>
      </c>
      <c r="AO234" t="str">
        <f>IF(StudentData[[#This Row],[RiskIndex]]&lt;=30,"Low",IF(StudentData[[#This Row],[RiskIndex]]&lt;=60,"Medium","High"))</f>
        <v>Low</v>
      </c>
      <c r="AP234">
        <f>StudentData[[#This Row],[G3]]+('Intervention Simulator'!$C$2*1.5)</f>
        <v>13</v>
      </c>
      <c r="AQ234" t="str">
        <f>IF(StudentData[[#This Row],[ProjectedGrade]]&gt;=10,"Pass","Fail")</f>
        <v>Pass</v>
      </c>
    </row>
    <row r="235" spans="1:43" x14ac:dyDescent="0.3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  <c r="AH235" t="str">
        <f>IF(StudentData[[#This Row],[G3]]&gt;=10,"Pass","Fail")</f>
        <v>Pass</v>
      </c>
      <c r="AI235">
        <f>IF(StudentData[[#This Row],[G3]]&lt;StudentData[[#This Row],[G2]],1,0)</f>
        <v>0</v>
      </c>
      <c r="AJ235">
        <f>IF(StudentData[[#This Row],[failures]]&gt;=2,100,IF(StudentData[[#This Row],[failures]]=1,60,0))</f>
        <v>0</v>
      </c>
      <c r="AK235">
        <f>IF(StudentData[[#This Row],[absences]]&gt;15,80,IF(StudentData[[#This Row],[absences]]&gt;10,50,0))</f>
        <v>0</v>
      </c>
      <c r="AL235">
        <f>IF(StudentData[[#This Row],[studytime]]=1,70,IF(StudentData[[#This Row],[studytime]]=2,40,0))</f>
        <v>0</v>
      </c>
      <c r="AM235">
        <f>IF(StudentData[[#This Row],[GradeDrop]]=1,50,0)</f>
        <v>0</v>
      </c>
      <c r="AN235">
        <f>0.4*StudentData[[#This Row],[FailureScore]]+0.3*StudentData[[#This Row],[AbsenceScore]]+0.2*StudentData[[#This Row],[StudyRisk]]+0.1*StudentData[[#This Row],[TrendRisk]]</f>
        <v>0</v>
      </c>
      <c r="AO235" t="str">
        <f>IF(StudentData[[#This Row],[RiskIndex]]&lt;=30,"Low",IF(StudentData[[#This Row],[RiskIndex]]&lt;=60,"Medium","High"))</f>
        <v>Low</v>
      </c>
      <c r="AP235">
        <f>StudentData[[#This Row],[G3]]+('Intervention Simulator'!$C$2*1.5)</f>
        <v>13</v>
      </c>
      <c r="AQ235" t="str">
        <f>IF(StudentData[[#This Row],[ProjectedGrade]]&gt;=10,"Pass","Fail")</f>
        <v>Pass</v>
      </c>
    </row>
    <row r="236" spans="1:43" x14ac:dyDescent="0.3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  <c r="AH236" t="str">
        <f>IF(StudentData[[#This Row],[G3]]&gt;=10,"Pass","Fail")</f>
        <v>Pass</v>
      </c>
      <c r="AI236">
        <f>IF(StudentData[[#This Row],[G3]]&lt;StudentData[[#This Row],[G2]],1,0)</f>
        <v>0</v>
      </c>
      <c r="AJ236">
        <f>IF(StudentData[[#This Row],[failures]]&gt;=2,100,IF(StudentData[[#This Row],[failures]]=1,60,0))</f>
        <v>0</v>
      </c>
      <c r="AK236">
        <f>IF(StudentData[[#This Row],[absences]]&gt;15,80,IF(StudentData[[#This Row],[absences]]&gt;10,50,0))</f>
        <v>0</v>
      </c>
      <c r="AL236">
        <f>IF(StudentData[[#This Row],[studytime]]=1,70,IF(StudentData[[#This Row],[studytime]]=2,40,0))</f>
        <v>40</v>
      </c>
      <c r="AM236">
        <f>IF(StudentData[[#This Row],[GradeDrop]]=1,50,0)</f>
        <v>0</v>
      </c>
      <c r="AN236">
        <f>0.4*StudentData[[#This Row],[FailureScore]]+0.3*StudentData[[#This Row],[AbsenceScore]]+0.2*StudentData[[#This Row],[StudyRisk]]+0.1*StudentData[[#This Row],[TrendRisk]]</f>
        <v>8</v>
      </c>
      <c r="AO236" t="str">
        <f>IF(StudentData[[#This Row],[RiskIndex]]&lt;=30,"Low",IF(StudentData[[#This Row],[RiskIndex]]&lt;=60,"Medium","High"))</f>
        <v>Low</v>
      </c>
      <c r="AP236">
        <f>StudentData[[#This Row],[G3]]+('Intervention Simulator'!$C$2*1.5)</f>
        <v>11</v>
      </c>
      <c r="AQ236" t="str">
        <f>IF(StudentData[[#This Row],[ProjectedGrade]]&gt;=10,"Pass","Fail")</f>
        <v>Pass</v>
      </c>
    </row>
    <row r="237" spans="1:43" x14ac:dyDescent="0.3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  <c r="AH237" t="str">
        <f>IF(StudentData[[#This Row],[G3]]&gt;=10,"Pass","Fail")</f>
        <v>Pass</v>
      </c>
      <c r="AI237">
        <f>IF(StudentData[[#This Row],[G3]]&lt;StudentData[[#This Row],[G2]],1,0)</f>
        <v>0</v>
      </c>
      <c r="AJ237">
        <f>IF(StudentData[[#This Row],[failures]]&gt;=2,100,IF(StudentData[[#This Row],[failures]]=1,60,0))</f>
        <v>0</v>
      </c>
      <c r="AK237">
        <f>IF(StudentData[[#This Row],[absences]]&gt;15,80,IF(StudentData[[#This Row],[absences]]&gt;10,50,0))</f>
        <v>50</v>
      </c>
      <c r="AL237">
        <f>IF(StudentData[[#This Row],[studytime]]=1,70,IF(StudentData[[#This Row],[studytime]]=2,40,0))</f>
        <v>0</v>
      </c>
      <c r="AM237">
        <f>IF(StudentData[[#This Row],[GradeDrop]]=1,50,0)</f>
        <v>0</v>
      </c>
      <c r="AN237">
        <f>0.4*StudentData[[#This Row],[FailureScore]]+0.3*StudentData[[#This Row],[AbsenceScore]]+0.2*StudentData[[#This Row],[StudyRisk]]+0.1*StudentData[[#This Row],[TrendRisk]]</f>
        <v>15</v>
      </c>
      <c r="AO237" t="str">
        <f>IF(StudentData[[#This Row],[RiskIndex]]&lt;=30,"Low",IF(StudentData[[#This Row],[RiskIndex]]&lt;=60,"Medium","High"))</f>
        <v>Low</v>
      </c>
      <c r="AP237">
        <f>StudentData[[#This Row],[G3]]+('Intervention Simulator'!$C$2*1.5)</f>
        <v>12</v>
      </c>
      <c r="AQ237" t="str">
        <f>IF(StudentData[[#This Row],[ProjectedGrade]]&gt;=10,"Pass","Fail")</f>
        <v>Pass</v>
      </c>
    </row>
    <row r="238" spans="1:43" x14ac:dyDescent="0.3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  <c r="AH238" t="str">
        <f>IF(StudentData[[#This Row],[G3]]&gt;=10,"Pass","Fail")</f>
        <v>Pass</v>
      </c>
      <c r="AI238">
        <f>IF(StudentData[[#This Row],[G3]]&lt;StudentData[[#This Row],[G2]],1,0)</f>
        <v>0</v>
      </c>
      <c r="AJ238">
        <f>IF(StudentData[[#This Row],[failures]]&gt;=2,100,IF(StudentData[[#This Row],[failures]]=1,60,0))</f>
        <v>0</v>
      </c>
      <c r="AK238">
        <f>IF(StudentData[[#This Row],[absences]]&gt;15,80,IF(StudentData[[#This Row],[absences]]&gt;10,50,0))</f>
        <v>0</v>
      </c>
      <c r="AL238">
        <f>IF(StudentData[[#This Row],[studytime]]=1,70,IF(StudentData[[#This Row],[studytime]]=2,40,0))</f>
        <v>40</v>
      </c>
      <c r="AM238">
        <f>IF(StudentData[[#This Row],[GradeDrop]]=1,50,0)</f>
        <v>0</v>
      </c>
      <c r="AN238">
        <f>0.4*StudentData[[#This Row],[FailureScore]]+0.3*StudentData[[#This Row],[AbsenceScore]]+0.2*StudentData[[#This Row],[StudyRisk]]+0.1*StudentData[[#This Row],[TrendRisk]]</f>
        <v>8</v>
      </c>
      <c r="AO238" t="str">
        <f>IF(StudentData[[#This Row],[RiskIndex]]&lt;=30,"Low",IF(StudentData[[#This Row],[RiskIndex]]&lt;=60,"Medium","High"))</f>
        <v>Low</v>
      </c>
      <c r="AP238">
        <f>StudentData[[#This Row],[G3]]+('Intervention Simulator'!$C$2*1.5)</f>
        <v>14</v>
      </c>
      <c r="AQ238" t="str">
        <f>IF(StudentData[[#This Row],[ProjectedGrade]]&gt;=10,"Pass","Fail")</f>
        <v>Pass</v>
      </c>
    </row>
    <row r="239" spans="1:43" x14ac:dyDescent="0.3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  <c r="AH239" t="str">
        <f>IF(StudentData[[#This Row],[G3]]&gt;=10,"Pass","Fail")</f>
        <v>Pass</v>
      </c>
      <c r="AI239">
        <f>IF(StudentData[[#This Row],[G3]]&lt;StudentData[[#This Row],[G2]],1,0)</f>
        <v>0</v>
      </c>
      <c r="AJ239">
        <f>IF(StudentData[[#This Row],[failures]]&gt;=2,100,IF(StudentData[[#This Row],[failures]]=1,60,0))</f>
        <v>100</v>
      </c>
      <c r="AK239">
        <f>IF(StudentData[[#This Row],[absences]]&gt;15,80,IF(StudentData[[#This Row],[absences]]&gt;10,50,0))</f>
        <v>0</v>
      </c>
      <c r="AL239">
        <f>IF(StudentData[[#This Row],[studytime]]=1,70,IF(StudentData[[#This Row],[studytime]]=2,40,0))</f>
        <v>40</v>
      </c>
      <c r="AM239">
        <f>IF(StudentData[[#This Row],[GradeDrop]]=1,50,0)</f>
        <v>0</v>
      </c>
      <c r="AN239">
        <f>0.4*StudentData[[#This Row],[FailureScore]]+0.3*StudentData[[#This Row],[AbsenceScore]]+0.2*StudentData[[#This Row],[StudyRisk]]+0.1*StudentData[[#This Row],[TrendRisk]]</f>
        <v>48</v>
      </c>
      <c r="AO239" t="str">
        <f>IF(StudentData[[#This Row],[RiskIndex]]&lt;=30,"Low",IF(StudentData[[#This Row],[RiskIndex]]&lt;=60,"Medium","High"))</f>
        <v>Medium</v>
      </c>
      <c r="AP239">
        <f>StudentData[[#This Row],[G3]]+('Intervention Simulator'!$C$2*1.5)</f>
        <v>10</v>
      </c>
      <c r="AQ239" t="str">
        <f>IF(StudentData[[#This Row],[ProjectedGrade]]&gt;=10,"Pass","Fail")</f>
        <v>Pass</v>
      </c>
    </row>
    <row r="240" spans="1:43" x14ac:dyDescent="0.3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  <c r="AH240" t="str">
        <f>IF(StudentData[[#This Row],[G3]]&gt;=10,"Pass","Fail")</f>
        <v>Pass</v>
      </c>
      <c r="AI240">
        <f>IF(StudentData[[#This Row],[G3]]&lt;StudentData[[#This Row],[G2]],1,0)</f>
        <v>0</v>
      </c>
      <c r="AJ240">
        <f>IF(StudentData[[#This Row],[failures]]&gt;=2,100,IF(StudentData[[#This Row],[failures]]=1,60,0))</f>
        <v>0</v>
      </c>
      <c r="AK240">
        <f>IF(StudentData[[#This Row],[absences]]&gt;15,80,IF(StudentData[[#This Row],[absences]]&gt;10,50,0))</f>
        <v>0</v>
      </c>
      <c r="AL240">
        <f>IF(StudentData[[#This Row],[studytime]]=1,70,IF(StudentData[[#This Row],[studytime]]=2,40,0))</f>
        <v>0</v>
      </c>
      <c r="AM240">
        <f>IF(StudentData[[#This Row],[GradeDrop]]=1,50,0)</f>
        <v>0</v>
      </c>
      <c r="AN240">
        <f>0.4*StudentData[[#This Row],[FailureScore]]+0.3*StudentData[[#This Row],[AbsenceScore]]+0.2*StudentData[[#This Row],[StudyRisk]]+0.1*StudentData[[#This Row],[TrendRisk]]</f>
        <v>0</v>
      </c>
      <c r="AO240" t="str">
        <f>IF(StudentData[[#This Row],[RiskIndex]]&lt;=30,"Low",IF(StudentData[[#This Row],[RiskIndex]]&lt;=60,"Medium","High"))</f>
        <v>Low</v>
      </c>
      <c r="AP240">
        <f>StudentData[[#This Row],[G3]]+('Intervention Simulator'!$C$2*1.5)</f>
        <v>16</v>
      </c>
      <c r="AQ240" t="str">
        <f>IF(StudentData[[#This Row],[ProjectedGrade]]&gt;=10,"Pass","Fail")</f>
        <v>Pass</v>
      </c>
    </row>
    <row r="241" spans="1:43" x14ac:dyDescent="0.3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  <c r="AH241" t="str">
        <f>IF(StudentData[[#This Row],[G3]]&gt;=10,"Pass","Fail")</f>
        <v>Fail</v>
      </c>
      <c r="AI241">
        <f>IF(StudentData[[#This Row],[G3]]&lt;StudentData[[#This Row],[G2]],1,0)</f>
        <v>0</v>
      </c>
      <c r="AJ241">
        <f>IF(StudentData[[#This Row],[failures]]&gt;=2,100,IF(StudentData[[#This Row],[failures]]=1,60,0))</f>
        <v>0</v>
      </c>
      <c r="AK241">
        <f>IF(StudentData[[#This Row],[absences]]&gt;15,80,IF(StudentData[[#This Row],[absences]]&gt;10,50,0))</f>
        <v>0</v>
      </c>
      <c r="AL241">
        <f>IF(StudentData[[#This Row],[studytime]]=1,70,IF(StudentData[[#This Row],[studytime]]=2,40,0))</f>
        <v>40</v>
      </c>
      <c r="AM241">
        <f>IF(StudentData[[#This Row],[GradeDrop]]=1,50,0)</f>
        <v>0</v>
      </c>
      <c r="AN241">
        <f>0.4*StudentData[[#This Row],[FailureScore]]+0.3*StudentData[[#This Row],[AbsenceScore]]+0.2*StudentData[[#This Row],[StudyRisk]]+0.1*StudentData[[#This Row],[TrendRisk]]</f>
        <v>8</v>
      </c>
      <c r="AO241" t="str">
        <f>IF(StudentData[[#This Row],[RiskIndex]]&lt;=30,"Low",IF(StudentData[[#This Row],[RiskIndex]]&lt;=60,"Medium","High"))</f>
        <v>Low</v>
      </c>
      <c r="AP241">
        <f>StudentData[[#This Row],[G3]]+('Intervention Simulator'!$C$2*1.5)</f>
        <v>8</v>
      </c>
      <c r="AQ241" t="str">
        <f>IF(StudentData[[#This Row],[ProjectedGrade]]&gt;=10,"Pass","Fail")</f>
        <v>Fail</v>
      </c>
    </row>
    <row r="242" spans="1:43" x14ac:dyDescent="0.3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  <c r="AH242" t="str">
        <f>IF(StudentData[[#This Row],[G3]]&gt;=10,"Pass","Fail")</f>
        <v>Pass</v>
      </c>
      <c r="AI242">
        <f>IF(StudentData[[#This Row],[G3]]&lt;StudentData[[#This Row],[G2]],1,0)</f>
        <v>1</v>
      </c>
      <c r="AJ242">
        <f>IF(StudentData[[#This Row],[failures]]&gt;=2,100,IF(StudentData[[#This Row],[failures]]=1,60,0))</f>
        <v>0</v>
      </c>
      <c r="AK242">
        <f>IF(StudentData[[#This Row],[absences]]&gt;15,80,IF(StudentData[[#This Row],[absences]]&gt;10,50,0))</f>
        <v>0</v>
      </c>
      <c r="AL242">
        <f>IF(StudentData[[#This Row],[studytime]]=1,70,IF(StudentData[[#This Row],[studytime]]=2,40,0))</f>
        <v>40</v>
      </c>
      <c r="AM242">
        <f>IF(StudentData[[#This Row],[GradeDrop]]=1,50,0)</f>
        <v>50</v>
      </c>
      <c r="AN242">
        <f>0.4*StudentData[[#This Row],[FailureScore]]+0.3*StudentData[[#This Row],[AbsenceScore]]+0.2*StudentData[[#This Row],[StudyRisk]]+0.1*StudentData[[#This Row],[TrendRisk]]</f>
        <v>13</v>
      </c>
      <c r="AO242" t="str">
        <f>IF(StudentData[[#This Row],[RiskIndex]]&lt;=30,"Low",IF(StudentData[[#This Row],[RiskIndex]]&lt;=60,"Medium","High"))</f>
        <v>Low</v>
      </c>
      <c r="AP242">
        <f>StudentData[[#This Row],[G3]]+('Intervention Simulator'!$C$2*1.5)</f>
        <v>17</v>
      </c>
      <c r="AQ242" t="str">
        <f>IF(StudentData[[#This Row],[ProjectedGrade]]&gt;=10,"Pass","Fail")</f>
        <v>Pass</v>
      </c>
    </row>
    <row r="243" spans="1:43" x14ac:dyDescent="0.3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  <c r="AH243" t="str">
        <f>IF(StudentData[[#This Row],[G3]]&gt;=10,"Pass","Fail")</f>
        <v>Pass</v>
      </c>
      <c r="AI243">
        <f>IF(StudentData[[#This Row],[G3]]&lt;StudentData[[#This Row],[G2]],1,0)</f>
        <v>0</v>
      </c>
      <c r="AJ243">
        <f>IF(StudentData[[#This Row],[failures]]&gt;=2,100,IF(StudentData[[#This Row],[failures]]=1,60,0))</f>
        <v>0</v>
      </c>
      <c r="AK243">
        <f>IF(StudentData[[#This Row],[absences]]&gt;15,80,IF(StudentData[[#This Row],[absences]]&gt;10,50,0))</f>
        <v>0</v>
      </c>
      <c r="AL243">
        <f>IF(StudentData[[#This Row],[studytime]]=1,70,IF(StudentData[[#This Row],[studytime]]=2,40,0))</f>
        <v>40</v>
      </c>
      <c r="AM243">
        <f>IF(StudentData[[#This Row],[GradeDrop]]=1,50,0)</f>
        <v>0</v>
      </c>
      <c r="AN243">
        <f>0.4*StudentData[[#This Row],[FailureScore]]+0.3*StudentData[[#This Row],[AbsenceScore]]+0.2*StudentData[[#This Row],[StudyRisk]]+0.1*StudentData[[#This Row],[TrendRisk]]</f>
        <v>8</v>
      </c>
      <c r="AO243" t="str">
        <f>IF(StudentData[[#This Row],[RiskIndex]]&lt;=30,"Low",IF(StudentData[[#This Row],[RiskIndex]]&lt;=60,"Medium","High"))</f>
        <v>Low</v>
      </c>
      <c r="AP243">
        <f>StudentData[[#This Row],[G3]]+('Intervention Simulator'!$C$2*1.5)</f>
        <v>11</v>
      </c>
      <c r="AQ243" t="str">
        <f>IF(StudentData[[#This Row],[ProjectedGrade]]&gt;=10,"Pass","Fail")</f>
        <v>Pass</v>
      </c>
    </row>
    <row r="244" spans="1:43" x14ac:dyDescent="0.3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  <c r="AH244" t="str">
        <f>IF(StudentData[[#This Row],[G3]]&gt;=10,"Pass","Fail")</f>
        <v>Pass</v>
      </c>
      <c r="AI244">
        <f>IF(StudentData[[#This Row],[G3]]&lt;StudentData[[#This Row],[G2]],1,0)</f>
        <v>0</v>
      </c>
      <c r="AJ244">
        <f>IF(StudentData[[#This Row],[failures]]&gt;=2,100,IF(StudentData[[#This Row],[failures]]=1,60,0))</f>
        <v>0</v>
      </c>
      <c r="AK244">
        <f>IF(StudentData[[#This Row],[absences]]&gt;15,80,IF(StudentData[[#This Row],[absences]]&gt;10,50,0))</f>
        <v>0</v>
      </c>
      <c r="AL244">
        <f>IF(StudentData[[#This Row],[studytime]]=1,70,IF(StudentData[[#This Row],[studytime]]=2,40,0))</f>
        <v>40</v>
      </c>
      <c r="AM244">
        <f>IF(StudentData[[#This Row],[GradeDrop]]=1,50,0)</f>
        <v>0</v>
      </c>
      <c r="AN244">
        <f>0.4*StudentData[[#This Row],[FailureScore]]+0.3*StudentData[[#This Row],[AbsenceScore]]+0.2*StudentData[[#This Row],[StudyRisk]]+0.1*StudentData[[#This Row],[TrendRisk]]</f>
        <v>8</v>
      </c>
      <c r="AO244" t="str">
        <f>IF(StudentData[[#This Row],[RiskIndex]]&lt;=30,"Low",IF(StudentData[[#This Row],[RiskIndex]]&lt;=60,"Medium","High"))</f>
        <v>Low</v>
      </c>
      <c r="AP244">
        <f>StudentData[[#This Row],[G3]]+('Intervention Simulator'!$C$2*1.5)</f>
        <v>11</v>
      </c>
      <c r="AQ244" t="str">
        <f>IF(StudentData[[#This Row],[ProjectedGrade]]&gt;=10,"Pass","Fail")</f>
        <v>Pass</v>
      </c>
    </row>
    <row r="245" spans="1:43" x14ac:dyDescent="0.3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  <c r="AH245" t="str">
        <f>IF(StudentData[[#This Row],[G3]]&gt;=10,"Pass","Fail")</f>
        <v>Pass</v>
      </c>
      <c r="AI245">
        <f>IF(StudentData[[#This Row],[G3]]&lt;StudentData[[#This Row],[G2]],1,0)</f>
        <v>0</v>
      </c>
      <c r="AJ245">
        <f>IF(StudentData[[#This Row],[failures]]&gt;=2,100,IF(StudentData[[#This Row],[failures]]=1,60,0))</f>
        <v>0</v>
      </c>
      <c r="AK245">
        <f>IF(StudentData[[#This Row],[absences]]&gt;15,80,IF(StudentData[[#This Row],[absences]]&gt;10,50,0))</f>
        <v>0</v>
      </c>
      <c r="AL245">
        <f>IF(StudentData[[#This Row],[studytime]]=1,70,IF(StudentData[[#This Row],[studytime]]=2,40,0))</f>
        <v>0</v>
      </c>
      <c r="AM245">
        <f>IF(StudentData[[#This Row],[GradeDrop]]=1,50,0)</f>
        <v>0</v>
      </c>
      <c r="AN245">
        <f>0.4*StudentData[[#This Row],[FailureScore]]+0.3*StudentData[[#This Row],[AbsenceScore]]+0.2*StudentData[[#This Row],[StudyRisk]]+0.1*StudentData[[#This Row],[TrendRisk]]</f>
        <v>0</v>
      </c>
      <c r="AO245" t="str">
        <f>IF(StudentData[[#This Row],[RiskIndex]]&lt;=30,"Low",IF(StudentData[[#This Row],[RiskIndex]]&lt;=60,"Medium","High"))</f>
        <v>Low</v>
      </c>
      <c r="AP245">
        <f>StudentData[[#This Row],[G3]]+('Intervention Simulator'!$C$2*1.5)</f>
        <v>16</v>
      </c>
      <c r="AQ245" t="str">
        <f>IF(StudentData[[#This Row],[ProjectedGrade]]&gt;=10,"Pass","Fail")</f>
        <v>Pass</v>
      </c>
    </row>
    <row r="246" spans="1:43" x14ac:dyDescent="0.3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  <c r="AH246" t="str">
        <f>IF(StudentData[[#This Row],[G3]]&gt;=10,"Pass","Fail")</f>
        <v>Pass</v>
      </c>
      <c r="AI246">
        <f>IF(StudentData[[#This Row],[G3]]&lt;StudentData[[#This Row],[G2]],1,0)</f>
        <v>0</v>
      </c>
      <c r="AJ246">
        <f>IF(StudentData[[#This Row],[failures]]&gt;=2,100,IF(StudentData[[#This Row],[failures]]=1,60,0))</f>
        <v>0</v>
      </c>
      <c r="AK246">
        <f>IF(StudentData[[#This Row],[absences]]&gt;15,80,IF(StudentData[[#This Row],[absences]]&gt;10,50,0))</f>
        <v>0</v>
      </c>
      <c r="AL246">
        <f>IF(StudentData[[#This Row],[studytime]]=1,70,IF(StudentData[[#This Row],[studytime]]=2,40,0))</f>
        <v>40</v>
      </c>
      <c r="AM246">
        <f>IF(StudentData[[#This Row],[GradeDrop]]=1,50,0)</f>
        <v>0</v>
      </c>
      <c r="AN246">
        <f>0.4*StudentData[[#This Row],[FailureScore]]+0.3*StudentData[[#This Row],[AbsenceScore]]+0.2*StudentData[[#This Row],[StudyRisk]]+0.1*StudentData[[#This Row],[TrendRisk]]</f>
        <v>8</v>
      </c>
      <c r="AO246" t="str">
        <f>IF(StudentData[[#This Row],[RiskIndex]]&lt;=30,"Low",IF(StudentData[[#This Row],[RiskIndex]]&lt;=60,"Medium","High"))</f>
        <v>Low</v>
      </c>
      <c r="AP246">
        <f>StudentData[[#This Row],[G3]]+('Intervention Simulator'!$C$2*1.5)</f>
        <v>12</v>
      </c>
      <c r="AQ246" t="str">
        <f>IF(StudentData[[#This Row],[ProjectedGrade]]&gt;=10,"Pass","Fail")</f>
        <v>Pass</v>
      </c>
    </row>
    <row r="247" spans="1:43" x14ac:dyDescent="0.3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  <c r="AH247" t="str">
        <f>IF(StudentData[[#This Row],[G3]]&gt;=10,"Pass","Fail")</f>
        <v>Pass</v>
      </c>
      <c r="AI247">
        <f>IF(StudentData[[#This Row],[G3]]&lt;StudentData[[#This Row],[G2]],1,0)</f>
        <v>0</v>
      </c>
      <c r="AJ247">
        <f>IF(StudentData[[#This Row],[failures]]&gt;=2,100,IF(StudentData[[#This Row],[failures]]=1,60,0))</f>
        <v>0</v>
      </c>
      <c r="AK247">
        <f>IF(StudentData[[#This Row],[absences]]&gt;15,80,IF(StudentData[[#This Row],[absences]]&gt;10,50,0))</f>
        <v>0</v>
      </c>
      <c r="AL247">
        <f>IF(StudentData[[#This Row],[studytime]]=1,70,IF(StudentData[[#This Row],[studytime]]=2,40,0))</f>
        <v>40</v>
      </c>
      <c r="AM247">
        <f>IF(StudentData[[#This Row],[GradeDrop]]=1,50,0)</f>
        <v>0</v>
      </c>
      <c r="AN247">
        <f>0.4*StudentData[[#This Row],[FailureScore]]+0.3*StudentData[[#This Row],[AbsenceScore]]+0.2*StudentData[[#This Row],[StudyRisk]]+0.1*StudentData[[#This Row],[TrendRisk]]</f>
        <v>8</v>
      </c>
      <c r="AO247" t="str">
        <f>IF(StudentData[[#This Row],[RiskIndex]]&lt;=30,"Low",IF(StudentData[[#This Row],[RiskIndex]]&lt;=60,"Medium","High"))</f>
        <v>Low</v>
      </c>
      <c r="AP247">
        <f>StudentData[[#This Row],[G3]]+('Intervention Simulator'!$C$2*1.5)</f>
        <v>13</v>
      </c>
      <c r="AQ247" t="str">
        <f>IF(StudentData[[#This Row],[ProjectedGrade]]&gt;=10,"Pass","Fail")</f>
        <v>Pass</v>
      </c>
    </row>
    <row r="248" spans="1:4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  <c r="AH248" t="str">
        <f>IF(StudentData[[#This Row],[G3]]&gt;=10,"Pass","Fail")</f>
        <v>Pass</v>
      </c>
      <c r="AI248">
        <f>IF(StudentData[[#This Row],[G3]]&lt;StudentData[[#This Row],[G2]],1,0)</f>
        <v>0</v>
      </c>
      <c r="AJ248">
        <f>IF(StudentData[[#This Row],[failures]]&gt;=2,100,IF(StudentData[[#This Row],[failures]]=1,60,0))</f>
        <v>0</v>
      </c>
      <c r="AK248">
        <f>IF(StudentData[[#This Row],[absences]]&gt;15,80,IF(StudentData[[#This Row],[absences]]&gt;10,50,0))</f>
        <v>0</v>
      </c>
      <c r="AL248">
        <f>IF(StudentData[[#This Row],[studytime]]=1,70,IF(StudentData[[#This Row],[studytime]]=2,40,0))</f>
        <v>40</v>
      </c>
      <c r="AM248">
        <f>IF(StudentData[[#This Row],[GradeDrop]]=1,50,0)</f>
        <v>0</v>
      </c>
      <c r="AN248">
        <f>0.4*StudentData[[#This Row],[FailureScore]]+0.3*StudentData[[#This Row],[AbsenceScore]]+0.2*StudentData[[#This Row],[StudyRisk]]+0.1*StudentData[[#This Row],[TrendRisk]]</f>
        <v>8</v>
      </c>
      <c r="AO248" t="str">
        <f>IF(StudentData[[#This Row],[RiskIndex]]&lt;=30,"Low",IF(StudentData[[#This Row],[RiskIndex]]&lt;=60,"Medium","High"))</f>
        <v>Low</v>
      </c>
      <c r="AP248">
        <f>StudentData[[#This Row],[G3]]+('Intervention Simulator'!$C$2*1.5)</f>
        <v>13</v>
      </c>
      <c r="AQ248" t="str">
        <f>IF(StudentData[[#This Row],[ProjectedGrade]]&gt;=10,"Pass","Fail")</f>
        <v>Pass</v>
      </c>
    </row>
    <row r="249" spans="1:43" x14ac:dyDescent="0.3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  <c r="AH249" t="str">
        <f>IF(StudentData[[#This Row],[G3]]&gt;=10,"Pass","Fail")</f>
        <v>Pass</v>
      </c>
      <c r="AI249">
        <f>IF(StudentData[[#This Row],[G3]]&lt;StudentData[[#This Row],[G2]],1,0)</f>
        <v>0</v>
      </c>
      <c r="AJ249">
        <f>IF(StudentData[[#This Row],[failures]]&gt;=2,100,IF(StudentData[[#This Row],[failures]]=1,60,0))</f>
        <v>0</v>
      </c>
      <c r="AK249">
        <f>IF(StudentData[[#This Row],[absences]]&gt;15,80,IF(StudentData[[#This Row],[absences]]&gt;10,50,0))</f>
        <v>0</v>
      </c>
      <c r="AL249">
        <f>IF(StudentData[[#This Row],[studytime]]=1,70,IF(StudentData[[#This Row],[studytime]]=2,40,0))</f>
        <v>40</v>
      </c>
      <c r="AM249">
        <f>IF(StudentData[[#This Row],[GradeDrop]]=1,50,0)</f>
        <v>0</v>
      </c>
      <c r="AN249">
        <f>0.4*StudentData[[#This Row],[FailureScore]]+0.3*StudentData[[#This Row],[AbsenceScore]]+0.2*StudentData[[#This Row],[StudyRisk]]+0.1*StudentData[[#This Row],[TrendRisk]]</f>
        <v>8</v>
      </c>
      <c r="AO249" t="str">
        <f>IF(StudentData[[#This Row],[RiskIndex]]&lt;=30,"Low",IF(StudentData[[#This Row],[RiskIndex]]&lt;=60,"Medium","High"))</f>
        <v>Low</v>
      </c>
      <c r="AP249">
        <f>StudentData[[#This Row],[G3]]+('Intervention Simulator'!$C$2*1.5)</f>
        <v>14</v>
      </c>
      <c r="AQ249" t="str">
        <f>IF(StudentData[[#This Row],[ProjectedGrade]]&gt;=10,"Pass","Fail")</f>
        <v>Pass</v>
      </c>
    </row>
    <row r="250" spans="1:43" x14ac:dyDescent="0.3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  <c r="AH250" t="str">
        <f>IF(StudentData[[#This Row],[G3]]&gt;=10,"Pass","Fail")</f>
        <v>Fail</v>
      </c>
      <c r="AI250">
        <f>IF(StudentData[[#This Row],[G3]]&lt;StudentData[[#This Row],[G2]],1,0)</f>
        <v>0</v>
      </c>
      <c r="AJ250">
        <f>IF(StudentData[[#This Row],[failures]]&gt;=2,100,IF(StudentData[[#This Row],[failures]]=1,60,0))</f>
        <v>0</v>
      </c>
      <c r="AK250">
        <f>IF(StudentData[[#This Row],[absences]]&gt;15,80,IF(StudentData[[#This Row],[absences]]&gt;10,50,0))</f>
        <v>0</v>
      </c>
      <c r="AL250">
        <f>IF(StudentData[[#This Row],[studytime]]=1,70,IF(StudentData[[#This Row],[studytime]]=2,40,0))</f>
        <v>40</v>
      </c>
      <c r="AM250">
        <f>IF(StudentData[[#This Row],[GradeDrop]]=1,50,0)</f>
        <v>0</v>
      </c>
      <c r="AN250">
        <f>0.4*StudentData[[#This Row],[FailureScore]]+0.3*StudentData[[#This Row],[AbsenceScore]]+0.2*StudentData[[#This Row],[StudyRisk]]+0.1*StudentData[[#This Row],[TrendRisk]]</f>
        <v>8</v>
      </c>
      <c r="AO250" t="str">
        <f>IF(StudentData[[#This Row],[RiskIndex]]&lt;=30,"Low",IF(StudentData[[#This Row],[RiskIndex]]&lt;=60,"Medium","High"))</f>
        <v>Low</v>
      </c>
      <c r="AP250">
        <f>StudentData[[#This Row],[G3]]+('Intervention Simulator'!$C$2*1.5)</f>
        <v>9</v>
      </c>
      <c r="AQ250" t="str">
        <f>IF(StudentData[[#This Row],[ProjectedGrade]]&gt;=10,"Pass","Fail")</f>
        <v>Fail</v>
      </c>
    </row>
    <row r="251" spans="1:4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  <c r="AH251" t="str">
        <f>IF(StudentData[[#This Row],[G3]]&gt;=10,"Pass","Fail")</f>
        <v>Pass</v>
      </c>
      <c r="AI251">
        <f>IF(StudentData[[#This Row],[G3]]&lt;StudentData[[#This Row],[G2]],1,0)</f>
        <v>0</v>
      </c>
      <c r="AJ251">
        <f>IF(StudentData[[#This Row],[failures]]&gt;=2,100,IF(StudentData[[#This Row],[failures]]=1,60,0))</f>
        <v>0</v>
      </c>
      <c r="AK251">
        <f>IF(StudentData[[#This Row],[absences]]&gt;15,80,IF(StudentData[[#This Row],[absences]]&gt;10,50,0))</f>
        <v>0</v>
      </c>
      <c r="AL251">
        <f>IF(StudentData[[#This Row],[studytime]]=1,70,IF(StudentData[[#This Row],[studytime]]=2,40,0))</f>
        <v>0</v>
      </c>
      <c r="AM251">
        <f>IF(StudentData[[#This Row],[GradeDrop]]=1,50,0)</f>
        <v>0</v>
      </c>
      <c r="AN251">
        <f>0.4*StudentData[[#This Row],[FailureScore]]+0.3*StudentData[[#This Row],[AbsenceScore]]+0.2*StudentData[[#This Row],[StudyRisk]]+0.1*StudentData[[#This Row],[TrendRisk]]</f>
        <v>0</v>
      </c>
      <c r="AO251" t="str">
        <f>IF(StudentData[[#This Row],[RiskIndex]]&lt;=30,"Low",IF(StudentData[[#This Row],[RiskIndex]]&lt;=60,"Medium","High"))</f>
        <v>Low</v>
      </c>
      <c r="AP251">
        <f>StudentData[[#This Row],[G3]]+('Intervention Simulator'!$C$2*1.5)</f>
        <v>12</v>
      </c>
      <c r="AQ251" t="str">
        <f>IF(StudentData[[#This Row],[ProjectedGrade]]&gt;=10,"Pass","Fail")</f>
        <v>Pass</v>
      </c>
    </row>
    <row r="252" spans="1:43" x14ac:dyDescent="0.3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  <c r="AH252" t="str">
        <f>IF(StudentData[[#This Row],[G3]]&gt;=10,"Pass","Fail")</f>
        <v>Pass</v>
      </c>
      <c r="AI252">
        <f>IF(StudentData[[#This Row],[G3]]&lt;StudentData[[#This Row],[G2]],1,0)</f>
        <v>0</v>
      </c>
      <c r="AJ252">
        <f>IF(StudentData[[#This Row],[failures]]&gt;=2,100,IF(StudentData[[#This Row],[failures]]=1,60,0))</f>
        <v>0</v>
      </c>
      <c r="AK252">
        <f>IF(StudentData[[#This Row],[absences]]&gt;15,80,IF(StudentData[[#This Row],[absences]]&gt;10,50,0))</f>
        <v>0</v>
      </c>
      <c r="AL252">
        <f>IF(StudentData[[#This Row],[studytime]]=1,70,IF(StudentData[[#This Row],[studytime]]=2,40,0))</f>
        <v>40</v>
      </c>
      <c r="AM252">
        <f>IF(StudentData[[#This Row],[GradeDrop]]=1,50,0)</f>
        <v>0</v>
      </c>
      <c r="AN252">
        <f>0.4*StudentData[[#This Row],[FailureScore]]+0.3*StudentData[[#This Row],[AbsenceScore]]+0.2*StudentData[[#This Row],[StudyRisk]]+0.1*StudentData[[#This Row],[TrendRisk]]</f>
        <v>8</v>
      </c>
      <c r="AO252" t="str">
        <f>IF(StudentData[[#This Row],[RiskIndex]]&lt;=30,"Low",IF(StudentData[[#This Row],[RiskIndex]]&lt;=60,"Medium","High"))</f>
        <v>Low</v>
      </c>
      <c r="AP252">
        <f>StudentData[[#This Row],[G3]]+('Intervention Simulator'!$C$2*1.5)</f>
        <v>16</v>
      </c>
      <c r="AQ252" t="str">
        <f>IF(StudentData[[#This Row],[ProjectedGrade]]&gt;=10,"Pass","Fail")</f>
        <v>Pass</v>
      </c>
    </row>
    <row r="253" spans="1:43" x14ac:dyDescent="0.3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  <c r="AH253" t="str">
        <f>IF(StudentData[[#This Row],[G3]]&gt;=10,"Pass","Fail")</f>
        <v>Pass</v>
      </c>
      <c r="AI253">
        <f>IF(StudentData[[#This Row],[G3]]&lt;StudentData[[#This Row],[G2]],1,0)</f>
        <v>0</v>
      </c>
      <c r="AJ253">
        <f>IF(StudentData[[#This Row],[failures]]&gt;=2,100,IF(StudentData[[#This Row],[failures]]=1,60,0))</f>
        <v>0</v>
      </c>
      <c r="AK253">
        <f>IF(StudentData[[#This Row],[absences]]&gt;15,80,IF(StudentData[[#This Row],[absences]]&gt;10,50,0))</f>
        <v>0</v>
      </c>
      <c r="AL253">
        <f>IF(StudentData[[#This Row],[studytime]]=1,70,IF(StudentData[[#This Row],[studytime]]=2,40,0))</f>
        <v>70</v>
      </c>
      <c r="AM253">
        <f>IF(StudentData[[#This Row],[GradeDrop]]=1,50,0)</f>
        <v>0</v>
      </c>
      <c r="AN253">
        <f>0.4*StudentData[[#This Row],[FailureScore]]+0.3*StudentData[[#This Row],[AbsenceScore]]+0.2*StudentData[[#This Row],[StudyRisk]]+0.1*StudentData[[#This Row],[TrendRisk]]</f>
        <v>14</v>
      </c>
      <c r="AO253" t="str">
        <f>IF(StudentData[[#This Row],[RiskIndex]]&lt;=30,"Low",IF(StudentData[[#This Row],[RiskIndex]]&lt;=60,"Medium","High"))</f>
        <v>Low</v>
      </c>
      <c r="AP253">
        <f>StudentData[[#This Row],[G3]]+('Intervention Simulator'!$C$2*1.5)</f>
        <v>10</v>
      </c>
      <c r="AQ253" t="str">
        <f>IF(StudentData[[#This Row],[ProjectedGrade]]&gt;=10,"Pass","Fail")</f>
        <v>Pass</v>
      </c>
    </row>
    <row r="254" spans="1:43" x14ac:dyDescent="0.3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  <c r="AH254" t="str">
        <f>IF(StudentData[[#This Row],[G3]]&gt;=10,"Pass","Fail")</f>
        <v>Pass</v>
      </c>
      <c r="AI254">
        <f>IF(StudentData[[#This Row],[G3]]&lt;StudentData[[#This Row],[G2]],1,0)</f>
        <v>0</v>
      </c>
      <c r="AJ254">
        <f>IF(StudentData[[#This Row],[failures]]&gt;=2,100,IF(StudentData[[#This Row],[failures]]=1,60,0))</f>
        <v>0</v>
      </c>
      <c r="AK254">
        <f>IF(StudentData[[#This Row],[absences]]&gt;15,80,IF(StudentData[[#This Row],[absences]]&gt;10,50,0))</f>
        <v>0</v>
      </c>
      <c r="AL254">
        <f>IF(StudentData[[#This Row],[studytime]]=1,70,IF(StudentData[[#This Row],[studytime]]=2,40,0))</f>
        <v>40</v>
      </c>
      <c r="AM254">
        <f>IF(StudentData[[#This Row],[GradeDrop]]=1,50,0)</f>
        <v>0</v>
      </c>
      <c r="AN254">
        <f>0.4*StudentData[[#This Row],[FailureScore]]+0.3*StudentData[[#This Row],[AbsenceScore]]+0.2*StudentData[[#This Row],[StudyRisk]]+0.1*StudentData[[#This Row],[TrendRisk]]</f>
        <v>8</v>
      </c>
      <c r="AO254" t="str">
        <f>IF(StudentData[[#This Row],[RiskIndex]]&lt;=30,"Low",IF(StudentData[[#This Row],[RiskIndex]]&lt;=60,"Medium","High"))</f>
        <v>Low</v>
      </c>
      <c r="AP254">
        <f>StudentData[[#This Row],[G3]]+('Intervention Simulator'!$C$2*1.5)</f>
        <v>13</v>
      </c>
      <c r="AQ254" t="str">
        <f>IF(StudentData[[#This Row],[ProjectedGrade]]&gt;=10,"Pass","Fail")</f>
        <v>Pass</v>
      </c>
    </row>
    <row r="255" spans="1:43" x14ac:dyDescent="0.3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  <c r="AH255" t="str">
        <f>IF(StudentData[[#This Row],[G3]]&gt;=10,"Pass","Fail")</f>
        <v>Pass</v>
      </c>
      <c r="AI255">
        <f>IF(StudentData[[#This Row],[G3]]&lt;StudentData[[#This Row],[G2]],1,0)</f>
        <v>0</v>
      </c>
      <c r="AJ255">
        <f>IF(StudentData[[#This Row],[failures]]&gt;=2,100,IF(StudentData[[#This Row],[failures]]=1,60,0))</f>
        <v>60</v>
      </c>
      <c r="AK255">
        <f>IF(StudentData[[#This Row],[absences]]&gt;15,80,IF(StudentData[[#This Row],[absences]]&gt;10,50,0))</f>
        <v>80</v>
      </c>
      <c r="AL255">
        <f>IF(StudentData[[#This Row],[studytime]]=1,70,IF(StudentData[[#This Row],[studytime]]=2,40,0))</f>
        <v>40</v>
      </c>
      <c r="AM255">
        <f>IF(StudentData[[#This Row],[GradeDrop]]=1,50,0)</f>
        <v>0</v>
      </c>
      <c r="AN255">
        <f>0.4*StudentData[[#This Row],[FailureScore]]+0.3*StudentData[[#This Row],[AbsenceScore]]+0.2*StudentData[[#This Row],[StudyRisk]]+0.1*StudentData[[#This Row],[TrendRisk]]</f>
        <v>56</v>
      </c>
      <c r="AO255" t="str">
        <f>IF(StudentData[[#This Row],[RiskIndex]]&lt;=30,"Low",IF(StudentData[[#This Row],[RiskIndex]]&lt;=60,"Medium","High"))</f>
        <v>Medium</v>
      </c>
      <c r="AP255">
        <f>StudentData[[#This Row],[G3]]+('Intervention Simulator'!$C$2*1.5)</f>
        <v>10</v>
      </c>
      <c r="AQ255" t="str">
        <f>IF(StudentData[[#This Row],[ProjectedGrade]]&gt;=10,"Pass","Fail")</f>
        <v>Pass</v>
      </c>
    </row>
    <row r="256" spans="1:43" x14ac:dyDescent="0.3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  <c r="AH256" t="str">
        <f>IF(StudentData[[#This Row],[G3]]&gt;=10,"Pass","Fail")</f>
        <v>Pass</v>
      </c>
      <c r="AI256">
        <f>IF(StudentData[[#This Row],[G3]]&lt;StudentData[[#This Row],[G2]],1,0)</f>
        <v>0</v>
      </c>
      <c r="AJ256">
        <f>IF(StudentData[[#This Row],[failures]]&gt;=2,100,IF(StudentData[[#This Row],[failures]]=1,60,0))</f>
        <v>60</v>
      </c>
      <c r="AK256">
        <f>IF(StudentData[[#This Row],[absences]]&gt;15,80,IF(StudentData[[#This Row],[absences]]&gt;10,50,0))</f>
        <v>80</v>
      </c>
      <c r="AL256">
        <f>IF(StudentData[[#This Row],[studytime]]=1,70,IF(StudentData[[#This Row],[studytime]]=2,40,0))</f>
        <v>40</v>
      </c>
      <c r="AM256">
        <f>IF(StudentData[[#This Row],[GradeDrop]]=1,50,0)</f>
        <v>0</v>
      </c>
      <c r="AN256">
        <f>0.4*StudentData[[#This Row],[FailureScore]]+0.3*StudentData[[#This Row],[AbsenceScore]]+0.2*StudentData[[#This Row],[StudyRisk]]+0.1*StudentData[[#This Row],[TrendRisk]]</f>
        <v>56</v>
      </c>
      <c r="AO256" t="str">
        <f>IF(StudentData[[#This Row],[RiskIndex]]&lt;=30,"Low",IF(StudentData[[#This Row],[RiskIndex]]&lt;=60,"Medium","High"))</f>
        <v>Medium</v>
      </c>
      <c r="AP256">
        <f>StudentData[[#This Row],[G3]]+('Intervention Simulator'!$C$2*1.5)</f>
        <v>10</v>
      </c>
      <c r="AQ256" t="str">
        <f>IF(StudentData[[#This Row],[ProjectedGrade]]&gt;=10,"Pass","Fail")</f>
        <v>Pass</v>
      </c>
    </row>
    <row r="257" spans="1:43" x14ac:dyDescent="0.3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  <c r="AH257" t="str">
        <f>IF(StudentData[[#This Row],[G3]]&gt;=10,"Pass","Fail")</f>
        <v>Fail</v>
      </c>
      <c r="AI257">
        <f>IF(StudentData[[#This Row],[G3]]&lt;StudentData[[#This Row],[G2]],1,0)</f>
        <v>0</v>
      </c>
      <c r="AJ257">
        <f>IF(StudentData[[#This Row],[failures]]&gt;=2,100,IF(StudentData[[#This Row],[failures]]=1,60,0))</f>
        <v>60</v>
      </c>
      <c r="AK257">
        <f>IF(StudentData[[#This Row],[absences]]&gt;15,80,IF(StudentData[[#This Row],[absences]]&gt;10,50,0))</f>
        <v>50</v>
      </c>
      <c r="AL257">
        <f>IF(StudentData[[#This Row],[studytime]]=1,70,IF(StudentData[[#This Row],[studytime]]=2,40,0))</f>
        <v>70</v>
      </c>
      <c r="AM257">
        <f>IF(StudentData[[#This Row],[GradeDrop]]=1,50,0)</f>
        <v>0</v>
      </c>
      <c r="AN257">
        <f>0.4*StudentData[[#This Row],[FailureScore]]+0.3*StudentData[[#This Row],[AbsenceScore]]+0.2*StudentData[[#This Row],[StudyRisk]]+0.1*StudentData[[#This Row],[TrendRisk]]</f>
        <v>53</v>
      </c>
      <c r="AO257" t="str">
        <f>IF(StudentData[[#This Row],[RiskIndex]]&lt;=30,"Low",IF(StudentData[[#This Row],[RiskIndex]]&lt;=60,"Medium","High"))</f>
        <v>Medium</v>
      </c>
      <c r="AP257">
        <f>StudentData[[#This Row],[G3]]+('Intervention Simulator'!$C$2*1.5)</f>
        <v>7</v>
      </c>
      <c r="AQ257" t="str">
        <f>IF(StudentData[[#This Row],[ProjectedGrade]]&gt;=10,"Pass","Fail")</f>
        <v>Fail</v>
      </c>
    </row>
    <row r="258" spans="1:43" x14ac:dyDescent="0.3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  <c r="AH258" t="str">
        <f>IF(StudentData[[#This Row],[G3]]&gt;=10,"Pass","Fail")</f>
        <v>Fail</v>
      </c>
      <c r="AI258">
        <f>IF(StudentData[[#This Row],[G3]]&lt;StudentData[[#This Row],[G2]],1,0)</f>
        <v>0</v>
      </c>
      <c r="AJ258">
        <f>IF(StudentData[[#This Row],[failures]]&gt;=2,100,IF(StudentData[[#This Row],[failures]]=1,60,0))</f>
        <v>60</v>
      </c>
      <c r="AK258">
        <f>IF(StudentData[[#This Row],[absences]]&gt;15,80,IF(StudentData[[#This Row],[absences]]&gt;10,50,0))</f>
        <v>80</v>
      </c>
      <c r="AL258">
        <f>IF(StudentData[[#This Row],[studytime]]=1,70,IF(StudentData[[#This Row],[studytime]]=2,40,0))</f>
        <v>70</v>
      </c>
      <c r="AM258">
        <f>IF(StudentData[[#This Row],[GradeDrop]]=1,50,0)</f>
        <v>0</v>
      </c>
      <c r="AN258">
        <f>0.4*StudentData[[#This Row],[FailureScore]]+0.3*StudentData[[#This Row],[AbsenceScore]]+0.2*StudentData[[#This Row],[StudyRisk]]+0.1*StudentData[[#This Row],[TrendRisk]]</f>
        <v>62</v>
      </c>
      <c r="AO258" t="str">
        <f>IF(StudentData[[#This Row],[RiskIndex]]&lt;=30,"Low",IF(StudentData[[#This Row],[RiskIndex]]&lt;=60,"Medium","High"))</f>
        <v>High</v>
      </c>
      <c r="AP258">
        <f>StudentData[[#This Row],[G3]]+('Intervention Simulator'!$C$2*1.5)</f>
        <v>8</v>
      </c>
      <c r="AQ258" t="str">
        <f>IF(StudentData[[#This Row],[ProjectedGrade]]&gt;=10,"Pass","Fail")</f>
        <v>Fail</v>
      </c>
    </row>
    <row r="259" spans="1:43" x14ac:dyDescent="0.3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  <c r="AH259" t="str">
        <f>IF(StudentData[[#This Row],[G3]]&gt;=10,"Pass","Fail")</f>
        <v>Fail</v>
      </c>
      <c r="AI259">
        <f>IF(StudentData[[#This Row],[G3]]&lt;StudentData[[#This Row],[G2]],1,0)</f>
        <v>0</v>
      </c>
      <c r="AJ259">
        <f>IF(StudentData[[#This Row],[failures]]&gt;=2,100,IF(StudentData[[#This Row],[failures]]=1,60,0))</f>
        <v>0</v>
      </c>
      <c r="AK259">
        <f>IF(StudentData[[#This Row],[absences]]&gt;15,80,IF(StudentData[[#This Row],[absences]]&gt;10,50,0))</f>
        <v>0</v>
      </c>
      <c r="AL259">
        <f>IF(StudentData[[#This Row],[studytime]]=1,70,IF(StudentData[[#This Row],[studytime]]=2,40,0))</f>
        <v>70</v>
      </c>
      <c r="AM259">
        <f>IF(StudentData[[#This Row],[GradeDrop]]=1,50,0)</f>
        <v>0</v>
      </c>
      <c r="AN259">
        <f>0.4*StudentData[[#This Row],[FailureScore]]+0.3*StudentData[[#This Row],[AbsenceScore]]+0.2*StudentData[[#This Row],[StudyRisk]]+0.1*StudentData[[#This Row],[TrendRisk]]</f>
        <v>14</v>
      </c>
      <c r="AO259" t="str">
        <f>IF(StudentData[[#This Row],[RiskIndex]]&lt;=30,"Low",IF(StudentData[[#This Row],[RiskIndex]]&lt;=60,"Medium","High"))</f>
        <v>Low</v>
      </c>
      <c r="AP259">
        <f>StudentData[[#This Row],[G3]]+('Intervention Simulator'!$C$2*1.5)</f>
        <v>9</v>
      </c>
      <c r="AQ259" t="str">
        <f>IF(StudentData[[#This Row],[ProjectedGrade]]&gt;=10,"Pass","Fail")</f>
        <v>Fail</v>
      </c>
    </row>
    <row r="260" spans="1:43" x14ac:dyDescent="0.3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  <c r="AH260" t="str">
        <f>IF(StudentData[[#This Row],[G3]]&gt;=10,"Pass","Fail")</f>
        <v>Pass</v>
      </c>
      <c r="AI260">
        <f>IF(StudentData[[#This Row],[G3]]&lt;StudentData[[#This Row],[G2]],1,0)</f>
        <v>0</v>
      </c>
      <c r="AJ260">
        <f>IF(StudentData[[#This Row],[failures]]&gt;=2,100,IF(StudentData[[#This Row],[failures]]=1,60,0))</f>
        <v>0</v>
      </c>
      <c r="AK260">
        <f>IF(StudentData[[#This Row],[absences]]&gt;15,80,IF(StudentData[[#This Row],[absences]]&gt;10,50,0))</f>
        <v>0</v>
      </c>
      <c r="AL260">
        <f>IF(StudentData[[#This Row],[studytime]]=1,70,IF(StudentData[[#This Row],[studytime]]=2,40,0))</f>
        <v>40</v>
      </c>
      <c r="AM260">
        <f>IF(StudentData[[#This Row],[GradeDrop]]=1,50,0)</f>
        <v>0</v>
      </c>
      <c r="AN260">
        <f>0.4*StudentData[[#This Row],[FailureScore]]+0.3*StudentData[[#This Row],[AbsenceScore]]+0.2*StudentData[[#This Row],[StudyRisk]]+0.1*StudentData[[#This Row],[TrendRisk]]</f>
        <v>8</v>
      </c>
      <c r="AO260" t="str">
        <f>IF(StudentData[[#This Row],[RiskIndex]]&lt;=30,"Low",IF(StudentData[[#This Row],[RiskIndex]]&lt;=60,"Medium","High"))</f>
        <v>Low</v>
      </c>
      <c r="AP260">
        <f>StudentData[[#This Row],[G3]]+('Intervention Simulator'!$C$2*1.5)</f>
        <v>15</v>
      </c>
      <c r="AQ260" t="str">
        <f>IF(StudentData[[#This Row],[ProjectedGrade]]&gt;=10,"Pass","Fail")</f>
        <v>Pass</v>
      </c>
    </row>
    <row r="261" spans="1:4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  <c r="AH261" t="str">
        <f>IF(StudentData[[#This Row],[G3]]&gt;=10,"Pass","Fail")</f>
        <v>Pass</v>
      </c>
      <c r="AI261">
        <f>IF(StudentData[[#This Row],[G3]]&lt;StudentData[[#This Row],[G2]],1,0)</f>
        <v>0</v>
      </c>
      <c r="AJ261">
        <f>IF(StudentData[[#This Row],[failures]]&gt;=2,100,IF(StudentData[[#This Row],[failures]]=1,60,0))</f>
        <v>0</v>
      </c>
      <c r="AK261">
        <f>IF(StudentData[[#This Row],[absences]]&gt;15,80,IF(StudentData[[#This Row],[absences]]&gt;10,50,0))</f>
        <v>0</v>
      </c>
      <c r="AL261">
        <f>IF(StudentData[[#This Row],[studytime]]=1,70,IF(StudentData[[#This Row],[studytime]]=2,40,0))</f>
        <v>0</v>
      </c>
      <c r="AM261">
        <f>IF(StudentData[[#This Row],[GradeDrop]]=1,50,0)</f>
        <v>0</v>
      </c>
      <c r="AN261">
        <f>0.4*StudentData[[#This Row],[FailureScore]]+0.3*StudentData[[#This Row],[AbsenceScore]]+0.2*StudentData[[#This Row],[StudyRisk]]+0.1*StudentData[[#This Row],[TrendRisk]]</f>
        <v>0</v>
      </c>
      <c r="AO261" t="str">
        <f>IF(StudentData[[#This Row],[RiskIndex]]&lt;=30,"Low",IF(StudentData[[#This Row],[RiskIndex]]&lt;=60,"Medium","High"))</f>
        <v>Low</v>
      </c>
      <c r="AP261">
        <f>StudentData[[#This Row],[G3]]+('Intervention Simulator'!$C$2*1.5)</f>
        <v>10</v>
      </c>
      <c r="AQ261" t="str">
        <f>IF(StudentData[[#This Row],[ProjectedGrade]]&gt;=10,"Pass","Fail")</f>
        <v>Pass</v>
      </c>
    </row>
    <row r="262" spans="1:43" x14ac:dyDescent="0.3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  <c r="AH262" t="str">
        <f>IF(StudentData[[#This Row],[G3]]&gt;=10,"Pass","Fail")</f>
        <v>Pass</v>
      </c>
      <c r="AI262">
        <f>IF(StudentData[[#This Row],[G3]]&lt;StudentData[[#This Row],[G2]],1,0)</f>
        <v>0</v>
      </c>
      <c r="AJ262">
        <f>IF(StudentData[[#This Row],[failures]]&gt;=2,100,IF(StudentData[[#This Row],[failures]]=1,60,0))</f>
        <v>0</v>
      </c>
      <c r="AK262">
        <f>IF(StudentData[[#This Row],[absences]]&gt;15,80,IF(StudentData[[#This Row],[absences]]&gt;10,50,0))</f>
        <v>0</v>
      </c>
      <c r="AL262">
        <f>IF(StudentData[[#This Row],[studytime]]=1,70,IF(StudentData[[#This Row],[studytime]]=2,40,0))</f>
        <v>70</v>
      </c>
      <c r="AM262">
        <f>IF(StudentData[[#This Row],[GradeDrop]]=1,50,0)</f>
        <v>0</v>
      </c>
      <c r="AN262">
        <f>0.4*StudentData[[#This Row],[FailureScore]]+0.3*StudentData[[#This Row],[AbsenceScore]]+0.2*StudentData[[#This Row],[StudyRisk]]+0.1*StudentData[[#This Row],[TrendRisk]]</f>
        <v>14</v>
      </c>
      <c r="AO262" t="str">
        <f>IF(StudentData[[#This Row],[RiskIndex]]&lt;=30,"Low",IF(StudentData[[#This Row],[RiskIndex]]&lt;=60,"Medium","High"))</f>
        <v>Low</v>
      </c>
      <c r="AP262">
        <f>StudentData[[#This Row],[G3]]+('Intervention Simulator'!$C$2*1.5)</f>
        <v>11</v>
      </c>
      <c r="AQ262" t="str">
        <f>IF(StudentData[[#This Row],[ProjectedGrade]]&gt;=10,"Pass","Fail")</f>
        <v>Pass</v>
      </c>
    </row>
    <row r="263" spans="1:43" x14ac:dyDescent="0.3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  <c r="AH263" t="str">
        <f>IF(StudentData[[#This Row],[G3]]&gt;=10,"Pass","Fail")</f>
        <v>Pass</v>
      </c>
      <c r="AI263">
        <f>IF(StudentData[[#This Row],[G3]]&lt;StudentData[[#This Row],[G2]],1,0)</f>
        <v>0</v>
      </c>
      <c r="AJ263">
        <f>IF(StudentData[[#This Row],[failures]]&gt;=2,100,IF(StudentData[[#This Row],[failures]]=1,60,0))</f>
        <v>0</v>
      </c>
      <c r="AK263">
        <f>IF(StudentData[[#This Row],[absences]]&gt;15,80,IF(StudentData[[#This Row],[absences]]&gt;10,50,0))</f>
        <v>0</v>
      </c>
      <c r="AL263">
        <f>IF(StudentData[[#This Row],[studytime]]=1,70,IF(StudentData[[#This Row],[studytime]]=2,40,0))</f>
        <v>40</v>
      </c>
      <c r="AM263">
        <f>IF(StudentData[[#This Row],[GradeDrop]]=1,50,0)</f>
        <v>0</v>
      </c>
      <c r="AN263">
        <f>0.4*StudentData[[#This Row],[FailureScore]]+0.3*StudentData[[#This Row],[AbsenceScore]]+0.2*StudentData[[#This Row],[StudyRisk]]+0.1*StudentData[[#This Row],[TrendRisk]]</f>
        <v>8</v>
      </c>
      <c r="AO263" t="str">
        <f>IF(StudentData[[#This Row],[RiskIndex]]&lt;=30,"Low",IF(StudentData[[#This Row],[RiskIndex]]&lt;=60,"Medium","High"))</f>
        <v>Low</v>
      </c>
      <c r="AP263">
        <f>StudentData[[#This Row],[G3]]+('Intervention Simulator'!$C$2*1.5)</f>
        <v>13</v>
      </c>
      <c r="AQ263" t="str">
        <f>IF(StudentData[[#This Row],[ProjectedGrade]]&gt;=10,"Pass","Fail")</f>
        <v>Pass</v>
      </c>
    </row>
    <row r="264" spans="1:43" x14ac:dyDescent="0.3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  <c r="AH264" t="str">
        <f>IF(StudentData[[#This Row],[G3]]&gt;=10,"Pass","Fail")</f>
        <v>Fail</v>
      </c>
      <c r="AI264">
        <f>IF(StudentData[[#This Row],[G3]]&lt;StudentData[[#This Row],[G2]],1,0)</f>
        <v>1</v>
      </c>
      <c r="AJ264">
        <f>IF(StudentData[[#This Row],[failures]]&gt;=2,100,IF(StudentData[[#This Row],[failures]]=1,60,0))</f>
        <v>60</v>
      </c>
      <c r="AK264">
        <f>IF(StudentData[[#This Row],[absences]]&gt;15,80,IF(StudentData[[#This Row],[absences]]&gt;10,50,0))</f>
        <v>50</v>
      </c>
      <c r="AL264">
        <f>IF(StudentData[[#This Row],[studytime]]=1,70,IF(StudentData[[#This Row],[studytime]]=2,40,0))</f>
        <v>70</v>
      </c>
      <c r="AM264">
        <f>IF(StudentData[[#This Row],[GradeDrop]]=1,50,0)</f>
        <v>50</v>
      </c>
      <c r="AN264">
        <f>0.4*StudentData[[#This Row],[FailureScore]]+0.3*StudentData[[#This Row],[AbsenceScore]]+0.2*StudentData[[#This Row],[StudyRisk]]+0.1*StudentData[[#This Row],[TrendRisk]]</f>
        <v>58</v>
      </c>
      <c r="AO264" t="str">
        <f>IF(StudentData[[#This Row],[RiskIndex]]&lt;=30,"Low",IF(StudentData[[#This Row],[RiskIndex]]&lt;=60,"Medium","High"))</f>
        <v>Medium</v>
      </c>
      <c r="AP264">
        <f>StudentData[[#This Row],[G3]]+('Intervention Simulator'!$C$2*1.5)</f>
        <v>8</v>
      </c>
      <c r="AQ264" t="str">
        <f>IF(StudentData[[#This Row],[ProjectedGrade]]&gt;=10,"Pass","Fail")</f>
        <v>Fail</v>
      </c>
    </row>
    <row r="265" spans="1:43" x14ac:dyDescent="0.3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  <c r="AH265" t="str">
        <f>IF(StudentData[[#This Row],[G3]]&gt;=10,"Pass","Fail")</f>
        <v>Fail</v>
      </c>
      <c r="AI265">
        <f>IF(StudentData[[#This Row],[G3]]&lt;StudentData[[#This Row],[G2]],1,0)</f>
        <v>0</v>
      </c>
      <c r="AJ265">
        <f>IF(StudentData[[#This Row],[failures]]&gt;=2,100,IF(StudentData[[#This Row],[failures]]=1,60,0))</f>
        <v>0</v>
      </c>
      <c r="AK265">
        <f>IF(StudentData[[#This Row],[absences]]&gt;15,80,IF(StudentData[[#This Row],[absences]]&gt;10,50,0))</f>
        <v>80</v>
      </c>
      <c r="AL265">
        <f>IF(StudentData[[#This Row],[studytime]]=1,70,IF(StudentData[[#This Row],[studytime]]=2,40,0))</f>
        <v>40</v>
      </c>
      <c r="AM265">
        <f>IF(StudentData[[#This Row],[GradeDrop]]=1,50,0)</f>
        <v>0</v>
      </c>
      <c r="AN265">
        <f>0.4*StudentData[[#This Row],[FailureScore]]+0.3*StudentData[[#This Row],[AbsenceScore]]+0.2*StudentData[[#This Row],[StudyRisk]]+0.1*StudentData[[#This Row],[TrendRisk]]</f>
        <v>32</v>
      </c>
      <c r="AO265" t="str">
        <f>IF(StudentData[[#This Row],[RiskIndex]]&lt;=30,"Low",IF(StudentData[[#This Row],[RiskIndex]]&lt;=60,"Medium","High"))</f>
        <v>Medium</v>
      </c>
      <c r="AP265">
        <f>StudentData[[#This Row],[G3]]+('Intervention Simulator'!$C$2*1.5)</f>
        <v>8</v>
      </c>
      <c r="AQ265" t="str">
        <f>IF(StudentData[[#This Row],[ProjectedGrade]]&gt;=10,"Pass","Fail")</f>
        <v>Fail</v>
      </c>
    </row>
    <row r="266" spans="1:43" x14ac:dyDescent="0.3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  <c r="AH266" t="str">
        <f>IF(StudentData[[#This Row],[G3]]&gt;=10,"Pass","Fail")</f>
        <v>Pass</v>
      </c>
      <c r="AI266">
        <f>IF(StudentData[[#This Row],[G3]]&lt;StudentData[[#This Row],[G2]],1,0)</f>
        <v>0</v>
      </c>
      <c r="AJ266">
        <f>IF(StudentData[[#This Row],[failures]]&gt;=2,100,IF(StudentData[[#This Row],[failures]]=1,60,0))</f>
        <v>60</v>
      </c>
      <c r="AK266">
        <f>IF(StudentData[[#This Row],[absences]]&gt;15,80,IF(StudentData[[#This Row],[absences]]&gt;10,50,0))</f>
        <v>0</v>
      </c>
      <c r="AL266">
        <f>IF(StudentData[[#This Row],[studytime]]=1,70,IF(StudentData[[#This Row],[studytime]]=2,40,0))</f>
        <v>70</v>
      </c>
      <c r="AM266">
        <f>IF(StudentData[[#This Row],[GradeDrop]]=1,50,0)</f>
        <v>0</v>
      </c>
      <c r="AN266">
        <f>0.4*StudentData[[#This Row],[FailureScore]]+0.3*StudentData[[#This Row],[AbsenceScore]]+0.2*StudentData[[#This Row],[StudyRisk]]+0.1*StudentData[[#This Row],[TrendRisk]]</f>
        <v>38</v>
      </c>
      <c r="AO266" t="str">
        <f>IF(StudentData[[#This Row],[RiskIndex]]&lt;=30,"Low",IF(StudentData[[#This Row],[RiskIndex]]&lt;=60,"Medium","High"))</f>
        <v>Medium</v>
      </c>
      <c r="AP266">
        <f>StudentData[[#This Row],[G3]]+('Intervention Simulator'!$C$2*1.5)</f>
        <v>10</v>
      </c>
      <c r="AQ266" t="str">
        <f>IF(StudentData[[#This Row],[ProjectedGrade]]&gt;=10,"Pass","Fail")</f>
        <v>Pass</v>
      </c>
    </row>
    <row r="267" spans="1:43" x14ac:dyDescent="0.3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  <c r="AH267" t="str">
        <f>IF(StudentData[[#This Row],[G3]]&gt;=10,"Pass","Fail")</f>
        <v>Pass</v>
      </c>
      <c r="AI267">
        <f>IF(StudentData[[#This Row],[G3]]&lt;StudentData[[#This Row],[G2]],1,0)</f>
        <v>0</v>
      </c>
      <c r="AJ267">
        <f>IF(StudentData[[#This Row],[failures]]&gt;=2,100,IF(StudentData[[#This Row],[failures]]=1,60,0))</f>
        <v>0</v>
      </c>
      <c r="AK267">
        <f>IF(StudentData[[#This Row],[absences]]&gt;15,80,IF(StudentData[[#This Row],[absences]]&gt;10,50,0))</f>
        <v>0</v>
      </c>
      <c r="AL267">
        <f>IF(StudentData[[#This Row],[studytime]]=1,70,IF(StudentData[[#This Row],[studytime]]=2,40,0))</f>
        <v>0</v>
      </c>
      <c r="AM267">
        <f>IF(StudentData[[#This Row],[GradeDrop]]=1,50,0)</f>
        <v>0</v>
      </c>
      <c r="AN267">
        <f>0.4*StudentData[[#This Row],[FailureScore]]+0.3*StudentData[[#This Row],[AbsenceScore]]+0.2*StudentData[[#This Row],[StudyRisk]]+0.1*StudentData[[#This Row],[TrendRisk]]</f>
        <v>0</v>
      </c>
      <c r="AO267" t="str">
        <f>IF(StudentData[[#This Row],[RiskIndex]]&lt;=30,"Low",IF(StudentData[[#This Row],[RiskIndex]]&lt;=60,"Medium","High"))</f>
        <v>Low</v>
      </c>
      <c r="AP267">
        <f>StudentData[[#This Row],[G3]]+('Intervention Simulator'!$C$2*1.5)</f>
        <v>15</v>
      </c>
      <c r="AQ267" t="str">
        <f>IF(StudentData[[#This Row],[ProjectedGrade]]&gt;=10,"Pass","Fail")</f>
        <v>Pass</v>
      </c>
    </row>
    <row r="268" spans="1:43" x14ac:dyDescent="0.3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  <c r="AH268" t="str">
        <f>IF(StudentData[[#This Row],[G3]]&gt;=10,"Pass","Fail")</f>
        <v>Pass</v>
      </c>
      <c r="AI268">
        <f>IF(StudentData[[#This Row],[G3]]&lt;StudentData[[#This Row],[G2]],1,0)</f>
        <v>0</v>
      </c>
      <c r="AJ268">
        <f>IF(StudentData[[#This Row],[failures]]&gt;=2,100,IF(StudentData[[#This Row],[failures]]=1,60,0))</f>
        <v>0</v>
      </c>
      <c r="AK268">
        <f>IF(StudentData[[#This Row],[absences]]&gt;15,80,IF(StudentData[[#This Row],[absences]]&gt;10,50,0))</f>
        <v>0</v>
      </c>
      <c r="AL268">
        <f>IF(StudentData[[#This Row],[studytime]]=1,70,IF(StudentData[[#This Row],[studytime]]=2,40,0))</f>
        <v>40</v>
      </c>
      <c r="AM268">
        <f>IF(StudentData[[#This Row],[GradeDrop]]=1,50,0)</f>
        <v>0</v>
      </c>
      <c r="AN268">
        <f>0.4*StudentData[[#This Row],[FailureScore]]+0.3*StudentData[[#This Row],[AbsenceScore]]+0.2*StudentData[[#This Row],[StudyRisk]]+0.1*StudentData[[#This Row],[TrendRisk]]</f>
        <v>8</v>
      </c>
      <c r="AO268" t="str">
        <f>IF(StudentData[[#This Row],[RiskIndex]]&lt;=30,"Low",IF(StudentData[[#This Row],[RiskIndex]]&lt;=60,"Medium","High"))</f>
        <v>Low</v>
      </c>
      <c r="AP268">
        <f>StudentData[[#This Row],[G3]]+('Intervention Simulator'!$C$2*1.5)</f>
        <v>14</v>
      </c>
      <c r="AQ268" t="str">
        <f>IF(StudentData[[#This Row],[ProjectedGrade]]&gt;=10,"Pass","Fail")</f>
        <v>Pass</v>
      </c>
    </row>
    <row r="269" spans="1:43" x14ac:dyDescent="0.3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  <c r="AH269" t="str">
        <f>IF(StudentData[[#This Row],[G3]]&gt;=10,"Pass","Fail")</f>
        <v>Pass</v>
      </c>
      <c r="AI269">
        <f>IF(StudentData[[#This Row],[G3]]&lt;StudentData[[#This Row],[G2]],1,0)</f>
        <v>0</v>
      </c>
      <c r="AJ269">
        <f>IF(StudentData[[#This Row],[failures]]&gt;=2,100,IF(StudentData[[#This Row],[failures]]=1,60,0))</f>
        <v>0</v>
      </c>
      <c r="AK269">
        <f>IF(StudentData[[#This Row],[absences]]&gt;15,80,IF(StudentData[[#This Row],[absences]]&gt;10,50,0))</f>
        <v>0</v>
      </c>
      <c r="AL269">
        <f>IF(StudentData[[#This Row],[studytime]]=1,70,IF(StudentData[[#This Row],[studytime]]=2,40,0))</f>
        <v>40</v>
      </c>
      <c r="AM269">
        <f>IF(StudentData[[#This Row],[GradeDrop]]=1,50,0)</f>
        <v>0</v>
      </c>
      <c r="AN269">
        <f>0.4*StudentData[[#This Row],[FailureScore]]+0.3*StudentData[[#This Row],[AbsenceScore]]+0.2*StudentData[[#This Row],[StudyRisk]]+0.1*StudentData[[#This Row],[TrendRisk]]</f>
        <v>8</v>
      </c>
      <c r="AO269" t="str">
        <f>IF(StudentData[[#This Row],[RiskIndex]]&lt;=30,"Low",IF(StudentData[[#This Row],[RiskIndex]]&lt;=60,"Medium","High"))</f>
        <v>Low</v>
      </c>
      <c r="AP269">
        <f>StudentData[[#This Row],[G3]]+('Intervention Simulator'!$C$2*1.5)</f>
        <v>15</v>
      </c>
      <c r="AQ269" t="str">
        <f>IF(StudentData[[#This Row],[ProjectedGrade]]&gt;=10,"Pass","Fail")</f>
        <v>Pass</v>
      </c>
    </row>
    <row r="270" spans="1:43" x14ac:dyDescent="0.3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  <c r="AH270" t="str">
        <f>IF(StudentData[[#This Row],[G3]]&gt;=10,"Pass","Fail")</f>
        <v>Pass</v>
      </c>
      <c r="AI270">
        <f>IF(StudentData[[#This Row],[G3]]&lt;StudentData[[#This Row],[G2]],1,0)</f>
        <v>0</v>
      </c>
      <c r="AJ270">
        <f>IF(StudentData[[#This Row],[failures]]&gt;=2,100,IF(StudentData[[#This Row],[failures]]=1,60,0))</f>
        <v>0</v>
      </c>
      <c r="AK270">
        <f>IF(StudentData[[#This Row],[absences]]&gt;15,80,IF(StudentData[[#This Row],[absences]]&gt;10,50,0))</f>
        <v>0</v>
      </c>
      <c r="AL270">
        <f>IF(StudentData[[#This Row],[studytime]]=1,70,IF(StudentData[[#This Row],[studytime]]=2,40,0))</f>
        <v>40</v>
      </c>
      <c r="AM270">
        <f>IF(StudentData[[#This Row],[GradeDrop]]=1,50,0)</f>
        <v>0</v>
      </c>
      <c r="AN270">
        <f>0.4*StudentData[[#This Row],[FailureScore]]+0.3*StudentData[[#This Row],[AbsenceScore]]+0.2*StudentData[[#This Row],[StudyRisk]]+0.1*StudentData[[#This Row],[TrendRisk]]</f>
        <v>8</v>
      </c>
      <c r="AO270" t="str">
        <f>IF(StudentData[[#This Row],[RiskIndex]]&lt;=30,"Low",IF(StudentData[[#This Row],[RiskIndex]]&lt;=60,"Medium","High"))</f>
        <v>Low</v>
      </c>
      <c r="AP270">
        <f>StudentData[[#This Row],[G3]]+('Intervention Simulator'!$C$2*1.5)</f>
        <v>12</v>
      </c>
      <c r="AQ270" t="str">
        <f>IF(StudentData[[#This Row],[ProjectedGrade]]&gt;=10,"Pass","Fail")</f>
        <v>Pass</v>
      </c>
    </row>
    <row r="271" spans="1:43" x14ac:dyDescent="0.3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  <c r="AH271" t="str">
        <f>IF(StudentData[[#This Row],[G3]]&gt;=10,"Pass","Fail")</f>
        <v>Pass</v>
      </c>
      <c r="AI271">
        <f>IF(StudentData[[#This Row],[G3]]&lt;StudentData[[#This Row],[G2]],1,0)</f>
        <v>0</v>
      </c>
      <c r="AJ271">
        <f>IF(StudentData[[#This Row],[failures]]&gt;=2,100,IF(StudentData[[#This Row],[failures]]=1,60,0))</f>
        <v>0</v>
      </c>
      <c r="AK271">
        <f>IF(StudentData[[#This Row],[absences]]&gt;15,80,IF(StudentData[[#This Row],[absences]]&gt;10,50,0))</f>
        <v>0</v>
      </c>
      <c r="AL271">
        <f>IF(StudentData[[#This Row],[studytime]]=1,70,IF(StudentData[[#This Row],[studytime]]=2,40,0))</f>
        <v>70</v>
      </c>
      <c r="AM271">
        <f>IF(StudentData[[#This Row],[GradeDrop]]=1,50,0)</f>
        <v>0</v>
      </c>
      <c r="AN271">
        <f>0.4*StudentData[[#This Row],[FailureScore]]+0.3*StudentData[[#This Row],[AbsenceScore]]+0.2*StudentData[[#This Row],[StudyRisk]]+0.1*StudentData[[#This Row],[TrendRisk]]</f>
        <v>14</v>
      </c>
      <c r="AO271" t="str">
        <f>IF(StudentData[[#This Row],[RiskIndex]]&lt;=30,"Low",IF(StudentData[[#This Row],[RiskIndex]]&lt;=60,"Medium","High"))</f>
        <v>Low</v>
      </c>
      <c r="AP271">
        <f>StudentData[[#This Row],[G3]]+('Intervention Simulator'!$C$2*1.5)</f>
        <v>15</v>
      </c>
      <c r="AQ271" t="str">
        <f>IF(StudentData[[#This Row],[ProjectedGrade]]&gt;=10,"Pass","Fail")</f>
        <v>Pass</v>
      </c>
    </row>
    <row r="272" spans="1:43" x14ac:dyDescent="0.3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  <c r="AH272" t="str">
        <f>IF(StudentData[[#This Row],[G3]]&gt;=10,"Pass","Fail")</f>
        <v>Pass</v>
      </c>
      <c r="AI272">
        <f>IF(StudentData[[#This Row],[G3]]&lt;StudentData[[#This Row],[G2]],1,0)</f>
        <v>0</v>
      </c>
      <c r="AJ272">
        <f>IF(StudentData[[#This Row],[failures]]&gt;=2,100,IF(StudentData[[#This Row],[failures]]=1,60,0))</f>
        <v>0</v>
      </c>
      <c r="AK272">
        <f>IF(StudentData[[#This Row],[absences]]&gt;15,80,IF(StudentData[[#This Row],[absences]]&gt;10,50,0))</f>
        <v>0</v>
      </c>
      <c r="AL272">
        <f>IF(StudentData[[#This Row],[studytime]]=1,70,IF(StudentData[[#This Row],[studytime]]=2,40,0))</f>
        <v>70</v>
      </c>
      <c r="AM272">
        <f>IF(StudentData[[#This Row],[GradeDrop]]=1,50,0)</f>
        <v>0</v>
      </c>
      <c r="AN272">
        <f>0.4*StudentData[[#This Row],[FailureScore]]+0.3*StudentData[[#This Row],[AbsenceScore]]+0.2*StudentData[[#This Row],[StudyRisk]]+0.1*StudentData[[#This Row],[TrendRisk]]</f>
        <v>14</v>
      </c>
      <c r="AO272" t="str">
        <f>IF(StudentData[[#This Row],[RiskIndex]]&lt;=30,"Low",IF(StudentData[[#This Row],[RiskIndex]]&lt;=60,"Medium","High"))</f>
        <v>Low</v>
      </c>
      <c r="AP272">
        <f>StudentData[[#This Row],[G3]]+('Intervention Simulator'!$C$2*1.5)</f>
        <v>15</v>
      </c>
      <c r="AQ272" t="str">
        <f>IF(StudentData[[#This Row],[ProjectedGrade]]&gt;=10,"Pass","Fail")</f>
        <v>Pass</v>
      </c>
    </row>
    <row r="273" spans="1:43" x14ac:dyDescent="0.3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  <c r="AH273" t="str">
        <f>IF(StudentData[[#This Row],[G3]]&gt;=10,"Pass","Fail")</f>
        <v>Pass</v>
      </c>
      <c r="AI273">
        <f>IF(StudentData[[#This Row],[G3]]&lt;StudentData[[#This Row],[G2]],1,0)</f>
        <v>0</v>
      </c>
      <c r="AJ273">
        <f>IF(StudentData[[#This Row],[failures]]&gt;=2,100,IF(StudentData[[#This Row],[failures]]=1,60,0))</f>
        <v>0</v>
      </c>
      <c r="AK273">
        <f>IF(StudentData[[#This Row],[absences]]&gt;15,80,IF(StudentData[[#This Row],[absences]]&gt;10,50,0))</f>
        <v>0</v>
      </c>
      <c r="AL273">
        <f>IF(StudentData[[#This Row],[studytime]]=1,70,IF(StudentData[[#This Row],[studytime]]=2,40,0))</f>
        <v>40</v>
      </c>
      <c r="AM273">
        <f>IF(StudentData[[#This Row],[GradeDrop]]=1,50,0)</f>
        <v>0</v>
      </c>
      <c r="AN273">
        <f>0.4*StudentData[[#This Row],[FailureScore]]+0.3*StudentData[[#This Row],[AbsenceScore]]+0.2*StudentData[[#This Row],[StudyRisk]]+0.1*StudentData[[#This Row],[TrendRisk]]</f>
        <v>8</v>
      </c>
      <c r="AO273" t="str">
        <f>IF(StudentData[[#This Row],[RiskIndex]]&lt;=30,"Low",IF(StudentData[[#This Row],[RiskIndex]]&lt;=60,"Medium","High"))</f>
        <v>Low</v>
      </c>
      <c r="AP273">
        <f>StudentData[[#This Row],[G3]]+('Intervention Simulator'!$C$2*1.5)</f>
        <v>12</v>
      </c>
      <c r="AQ273" t="str">
        <f>IF(StudentData[[#This Row],[ProjectedGrade]]&gt;=10,"Pass","Fail")</f>
        <v>Pass</v>
      </c>
    </row>
    <row r="274" spans="1:43" x14ac:dyDescent="0.3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  <c r="AH274" t="str">
        <f>IF(StudentData[[#This Row],[G3]]&gt;=10,"Pass","Fail")</f>
        <v>Pass</v>
      </c>
      <c r="AI274">
        <f>IF(StudentData[[#This Row],[G3]]&lt;StudentData[[#This Row],[G2]],1,0)</f>
        <v>0</v>
      </c>
      <c r="AJ274">
        <f>IF(StudentData[[#This Row],[failures]]&gt;=2,100,IF(StudentData[[#This Row],[failures]]=1,60,0))</f>
        <v>0</v>
      </c>
      <c r="AK274">
        <f>IF(StudentData[[#This Row],[absences]]&gt;15,80,IF(StudentData[[#This Row],[absences]]&gt;10,50,0))</f>
        <v>0</v>
      </c>
      <c r="AL274">
        <f>IF(StudentData[[#This Row],[studytime]]=1,70,IF(StudentData[[#This Row],[studytime]]=2,40,0))</f>
        <v>0</v>
      </c>
      <c r="AM274">
        <f>IF(StudentData[[#This Row],[GradeDrop]]=1,50,0)</f>
        <v>0</v>
      </c>
      <c r="AN274">
        <f>0.4*StudentData[[#This Row],[FailureScore]]+0.3*StudentData[[#This Row],[AbsenceScore]]+0.2*StudentData[[#This Row],[StudyRisk]]+0.1*StudentData[[#This Row],[TrendRisk]]</f>
        <v>0</v>
      </c>
      <c r="AO274" t="str">
        <f>IF(StudentData[[#This Row],[RiskIndex]]&lt;=30,"Low",IF(StudentData[[#This Row],[RiskIndex]]&lt;=60,"Medium","High"))</f>
        <v>Low</v>
      </c>
      <c r="AP274">
        <f>StudentData[[#This Row],[G3]]+('Intervention Simulator'!$C$2*1.5)</f>
        <v>15</v>
      </c>
      <c r="AQ274" t="str">
        <f>IF(StudentData[[#This Row],[ProjectedGrade]]&gt;=10,"Pass","Fail")</f>
        <v>Pass</v>
      </c>
    </row>
    <row r="275" spans="1:43" x14ac:dyDescent="0.3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  <c r="AH275" t="str">
        <f>IF(StudentData[[#This Row],[G3]]&gt;=10,"Pass","Fail")</f>
        <v>Pass</v>
      </c>
      <c r="AI275">
        <f>IF(StudentData[[#This Row],[G3]]&lt;StudentData[[#This Row],[G2]],1,0)</f>
        <v>0</v>
      </c>
      <c r="AJ275">
        <f>IF(StudentData[[#This Row],[failures]]&gt;=2,100,IF(StudentData[[#This Row],[failures]]=1,60,0))</f>
        <v>0</v>
      </c>
      <c r="AK275">
        <f>IF(StudentData[[#This Row],[absences]]&gt;15,80,IF(StudentData[[#This Row],[absences]]&gt;10,50,0))</f>
        <v>0</v>
      </c>
      <c r="AL275">
        <f>IF(StudentData[[#This Row],[studytime]]=1,70,IF(StudentData[[#This Row],[studytime]]=2,40,0))</f>
        <v>0</v>
      </c>
      <c r="AM275">
        <f>IF(StudentData[[#This Row],[GradeDrop]]=1,50,0)</f>
        <v>0</v>
      </c>
      <c r="AN275">
        <f>0.4*StudentData[[#This Row],[FailureScore]]+0.3*StudentData[[#This Row],[AbsenceScore]]+0.2*StudentData[[#This Row],[StudyRisk]]+0.1*StudentData[[#This Row],[TrendRisk]]</f>
        <v>0</v>
      </c>
      <c r="AO275" t="str">
        <f>IF(StudentData[[#This Row],[RiskIndex]]&lt;=30,"Low",IF(StudentData[[#This Row],[RiskIndex]]&lt;=60,"Medium","High"))</f>
        <v>Low</v>
      </c>
      <c r="AP275">
        <f>StudentData[[#This Row],[G3]]+('Intervention Simulator'!$C$2*1.5)</f>
        <v>11</v>
      </c>
      <c r="AQ275" t="str">
        <f>IF(StudentData[[#This Row],[ProjectedGrade]]&gt;=10,"Pass","Fail")</f>
        <v>Pass</v>
      </c>
    </row>
    <row r="276" spans="1:4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  <c r="AH276" t="str">
        <f>IF(StudentData[[#This Row],[G3]]&gt;=10,"Pass","Fail")</f>
        <v>Pass</v>
      </c>
      <c r="AI276">
        <f>IF(StudentData[[#This Row],[G3]]&lt;StudentData[[#This Row],[G2]],1,0)</f>
        <v>0</v>
      </c>
      <c r="AJ276">
        <f>IF(StudentData[[#This Row],[failures]]&gt;=2,100,IF(StudentData[[#This Row],[failures]]=1,60,0))</f>
        <v>0</v>
      </c>
      <c r="AK276">
        <f>IF(StudentData[[#This Row],[absences]]&gt;15,80,IF(StudentData[[#This Row],[absences]]&gt;10,50,0))</f>
        <v>0</v>
      </c>
      <c r="AL276">
        <f>IF(StudentData[[#This Row],[studytime]]=1,70,IF(StudentData[[#This Row],[studytime]]=2,40,0))</f>
        <v>40</v>
      </c>
      <c r="AM276">
        <f>IF(StudentData[[#This Row],[GradeDrop]]=1,50,0)</f>
        <v>0</v>
      </c>
      <c r="AN276">
        <f>0.4*StudentData[[#This Row],[FailureScore]]+0.3*StudentData[[#This Row],[AbsenceScore]]+0.2*StudentData[[#This Row],[StudyRisk]]+0.1*StudentData[[#This Row],[TrendRisk]]</f>
        <v>8</v>
      </c>
      <c r="AO276" t="str">
        <f>IF(StudentData[[#This Row],[RiskIndex]]&lt;=30,"Low",IF(StudentData[[#This Row],[RiskIndex]]&lt;=60,"Medium","High"))</f>
        <v>Low</v>
      </c>
      <c r="AP276">
        <f>StudentData[[#This Row],[G3]]+('Intervention Simulator'!$C$2*1.5)</f>
        <v>10</v>
      </c>
      <c r="AQ276" t="str">
        <f>IF(StudentData[[#This Row],[ProjectedGrade]]&gt;=10,"Pass","Fail")</f>
        <v>Pass</v>
      </c>
    </row>
    <row r="277" spans="1:43" x14ac:dyDescent="0.3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  <c r="AH277" t="str">
        <f>IF(StudentData[[#This Row],[G3]]&gt;=10,"Pass","Fail")</f>
        <v>Pass</v>
      </c>
      <c r="AI277">
        <f>IF(StudentData[[#This Row],[G3]]&lt;StudentData[[#This Row],[G2]],1,0)</f>
        <v>0</v>
      </c>
      <c r="AJ277">
        <f>IF(StudentData[[#This Row],[failures]]&gt;=2,100,IF(StudentData[[#This Row],[failures]]=1,60,0))</f>
        <v>0</v>
      </c>
      <c r="AK277">
        <f>IF(StudentData[[#This Row],[absences]]&gt;15,80,IF(StudentData[[#This Row],[absences]]&gt;10,50,0))</f>
        <v>0</v>
      </c>
      <c r="AL277">
        <f>IF(StudentData[[#This Row],[studytime]]=1,70,IF(StudentData[[#This Row],[studytime]]=2,40,0))</f>
        <v>0</v>
      </c>
      <c r="AM277">
        <f>IF(StudentData[[#This Row],[GradeDrop]]=1,50,0)</f>
        <v>0</v>
      </c>
      <c r="AN277">
        <f>0.4*StudentData[[#This Row],[FailureScore]]+0.3*StudentData[[#This Row],[AbsenceScore]]+0.2*StudentData[[#This Row],[StudyRisk]]+0.1*StudentData[[#This Row],[TrendRisk]]</f>
        <v>0</v>
      </c>
      <c r="AO277" t="str">
        <f>IF(StudentData[[#This Row],[RiskIndex]]&lt;=30,"Low",IF(StudentData[[#This Row],[RiskIndex]]&lt;=60,"Medium","High"))</f>
        <v>Low</v>
      </c>
      <c r="AP277">
        <f>StudentData[[#This Row],[G3]]+('Intervention Simulator'!$C$2*1.5)</f>
        <v>11</v>
      </c>
      <c r="AQ277" t="str">
        <f>IF(StudentData[[#This Row],[ProjectedGrade]]&gt;=10,"Pass","Fail")</f>
        <v>Pass</v>
      </c>
    </row>
    <row r="278" spans="1:43" x14ac:dyDescent="0.3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  <c r="AH278" t="str">
        <f>IF(StudentData[[#This Row],[G3]]&gt;=10,"Pass","Fail")</f>
        <v>Pass</v>
      </c>
      <c r="AI278">
        <f>IF(StudentData[[#This Row],[G3]]&lt;StudentData[[#This Row],[G2]],1,0)</f>
        <v>0</v>
      </c>
      <c r="AJ278">
        <f>IF(StudentData[[#This Row],[failures]]&gt;=2,100,IF(StudentData[[#This Row],[failures]]=1,60,0))</f>
        <v>0</v>
      </c>
      <c r="AK278">
        <f>IF(StudentData[[#This Row],[absences]]&gt;15,80,IF(StudentData[[#This Row],[absences]]&gt;10,50,0))</f>
        <v>0</v>
      </c>
      <c r="AL278">
        <f>IF(StudentData[[#This Row],[studytime]]=1,70,IF(StudentData[[#This Row],[studytime]]=2,40,0))</f>
        <v>70</v>
      </c>
      <c r="AM278">
        <f>IF(StudentData[[#This Row],[GradeDrop]]=1,50,0)</f>
        <v>0</v>
      </c>
      <c r="AN278">
        <f>0.4*StudentData[[#This Row],[FailureScore]]+0.3*StudentData[[#This Row],[AbsenceScore]]+0.2*StudentData[[#This Row],[StudyRisk]]+0.1*StudentData[[#This Row],[TrendRisk]]</f>
        <v>14</v>
      </c>
      <c r="AO278" t="str">
        <f>IF(StudentData[[#This Row],[RiskIndex]]&lt;=30,"Low",IF(StudentData[[#This Row],[RiskIndex]]&lt;=60,"Medium","High"))</f>
        <v>Low</v>
      </c>
      <c r="AP278">
        <f>StudentData[[#This Row],[G3]]+('Intervention Simulator'!$C$2*1.5)</f>
        <v>16</v>
      </c>
      <c r="AQ278" t="str">
        <f>IF(StudentData[[#This Row],[ProjectedGrade]]&gt;=10,"Pass","Fail")</f>
        <v>Pass</v>
      </c>
    </row>
    <row r="279" spans="1:43" x14ac:dyDescent="0.3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  <c r="AH279" t="str">
        <f>IF(StudentData[[#This Row],[G3]]&gt;=10,"Pass","Fail")</f>
        <v>Pass</v>
      </c>
      <c r="AI279">
        <f>IF(StudentData[[#This Row],[G3]]&lt;StudentData[[#This Row],[G2]],1,0)</f>
        <v>0</v>
      </c>
      <c r="AJ279">
        <f>IF(StudentData[[#This Row],[failures]]&gt;=2,100,IF(StudentData[[#This Row],[failures]]=1,60,0))</f>
        <v>0</v>
      </c>
      <c r="AK279">
        <f>IF(StudentData[[#This Row],[absences]]&gt;15,80,IF(StudentData[[#This Row],[absences]]&gt;10,50,0))</f>
        <v>0</v>
      </c>
      <c r="AL279">
        <f>IF(StudentData[[#This Row],[studytime]]=1,70,IF(StudentData[[#This Row],[studytime]]=2,40,0))</f>
        <v>40</v>
      </c>
      <c r="AM279">
        <f>IF(StudentData[[#This Row],[GradeDrop]]=1,50,0)</f>
        <v>0</v>
      </c>
      <c r="AN279">
        <f>0.4*StudentData[[#This Row],[FailureScore]]+0.3*StudentData[[#This Row],[AbsenceScore]]+0.2*StudentData[[#This Row],[StudyRisk]]+0.1*StudentData[[#This Row],[TrendRisk]]</f>
        <v>8</v>
      </c>
      <c r="AO279" t="str">
        <f>IF(StudentData[[#This Row],[RiskIndex]]&lt;=30,"Low",IF(StudentData[[#This Row],[RiskIndex]]&lt;=60,"Medium","High"))</f>
        <v>Low</v>
      </c>
      <c r="AP279">
        <f>StudentData[[#This Row],[G3]]+('Intervention Simulator'!$C$2*1.5)</f>
        <v>11</v>
      </c>
      <c r="AQ279" t="str">
        <f>IF(StudentData[[#This Row],[ProjectedGrade]]&gt;=10,"Pass","Fail")</f>
        <v>Pass</v>
      </c>
    </row>
    <row r="280" spans="1:43" x14ac:dyDescent="0.3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  <c r="AH280" t="str">
        <f>IF(StudentData[[#This Row],[G3]]&gt;=10,"Pass","Fail")</f>
        <v>Pass</v>
      </c>
      <c r="AI280">
        <f>IF(StudentData[[#This Row],[G3]]&lt;StudentData[[#This Row],[G2]],1,0)</f>
        <v>0</v>
      </c>
      <c r="AJ280">
        <f>IF(StudentData[[#This Row],[failures]]&gt;=2,100,IF(StudentData[[#This Row],[failures]]=1,60,0))</f>
        <v>0</v>
      </c>
      <c r="AK280">
        <f>IF(StudentData[[#This Row],[absences]]&gt;15,80,IF(StudentData[[#This Row],[absences]]&gt;10,50,0))</f>
        <v>0</v>
      </c>
      <c r="AL280">
        <f>IF(StudentData[[#This Row],[studytime]]=1,70,IF(StudentData[[#This Row],[studytime]]=2,40,0))</f>
        <v>70</v>
      </c>
      <c r="AM280">
        <f>IF(StudentData[[#This Row],[GradeDrop]]=1,50,0)</f>
        <v>0</v>
      </c>
      <c r="AN280">
        <f>0.4*StudentData[[#This Row],[FailureScore]]+0.3*StudentData[[#This Row],[AbsenceScore]]+0.2*StudentData[[#This Row],[StudyRisk]]+0.1*StudentData[[#This Row],[TrendRisk]]</f>
        <v>14</v>
      </c>
      <c r="AO280" t="str">
        <f>IF(StudentData[[#This Row],[RiskIndex]]&lt;=30,"Low",IF(StudentData[[#This Row],[RiskIndex]]&lt;=60,"Medium","High"))</f>
        <v>Low</v>
      </c>
      <c r="AP280">
        <f>StudentData[[#This Row],[G3]]+('Intervention Simulator'!$C$2*1.5)</f>
        <v>13</v>
      </c>
      <c r="AQ280" t="str">
        <f>IF(StudentData[[#This Row],[ProjectedGrade]]&gt;=10,"Pass","Fail")</f>
        <v>Pass</v>
      </c>
    </row>
    <row r="281" spans="1:43" x14ac:dyDescent="0.3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  <c r="AH281" t="str">
        <f>IF(StudentData[[#This Row],[G3]]&gt;=10,"Pass","Fail")</f>
        <v>Fail</v>
      </c>
      <c r="AI281">
        <f>IF(StudentData[[#This Row],[G3]]&lt;StudentData[[#This Row],[G2]],1,0)</f>
        <v>1</v>
      </c>
      <c r="AJ281">
        <f>IF(StudentData[[#This Row],[failures]]&gt;=2,100,IF(StudentData[[#This Row],[failures]]=1,60,0))</f>
        <v>100</v>
      </c>
      <c r="AK281">
        <f>IF(StudentData[[#This Row],[absences]]&gt;15,80,IF(StudentData[[#This Row],[absences]]&gt;10,50,0))</f>
        <v>50</v>
      </c>
      <c r="AL281">
        <f>IF(StudentData[[#This Row],[studytime]]=1,70,IF(StudentData[[#This Row],[studytime]]=2,40,0))</f>
        <v>70</v>
      </c>
      <c r="AM281">
        <f>IF(StudentData[[#This Row],[GradeDrop]]=1,50,0)</f>
        <v>50</v>
      </c>
      <c r="AN281">
        <f>0.4*StudentData[[#This Row],[FailureScore]]+0.3*StudentData[[#This Row],[AbsenceScore]]+0.2*StudentData[[#This Row],[StudyRisk]]+0.1*StudentData[[#This Row],[TrendRisk]]</f>
        <v>74</v>
      </c>
      <c r="AO281" t="str">
        <f>IF(StudentData[[#This Row],[RiskIndex]]&lt;=30,"Low",IF(StudentData[[#This Row],[RiskIndex]]&lt;=60,"Medium","High"))</f>
        <v>High</v>
      </c>
      <c r="AP281">
        <f>StudentData[[#This Row],[G3]]+('Intervention Simulator'!$C$2*1.5)</f>
        <v>5</v>
      </c>
      <c r="AQ281" t="str">
        <f>IF(StudentData[[#This Row],[ProjectedGrade]]&gt;=10,"Pass","Fail")</f>
        <v>Fail</v>
      </c>
    </row>
    <row r="282" spans="1:43" x14ac:dyDescent="0.3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  <c r="AH282" t="str">
        <f>IF(StudentData[[#This Row],[G3]]&gt;=10,"Pass","Fail")</f>
        <v>Pass</v>
      </c>
      <c r="AI282">
        <f>IF(StudentData[[#This Row],[G3]]&lt;StudentData[[#This Row],[G2]],1,0)</f>
        <v>0</v>
      </c>
      <c r="AJ282">
        <f>IF(StudentData[[#This Row],[failures]]&gt;=2,100,IF(StudentData[[#This Row],[failures]]=1,60,0))</f>
        <v>0</v>
      </c>
      <c r="AK282">
        <f>IF(StudentData[[#This Row],[absences]]&gt;15,80,IF(StudentData[[#This Row],[absences]]&gt;10,50,0))</f>
        <v>0</v>
      </c>
      <c r="AL282">
        <f>IF(StudentData[[#This Row],[studytime]]=1,70,IF(StudentData[[#This Row],[studytime]]=2,40,0))</f>
        <v>40</v>
      </c>
      <c r="AM282">
        <f>IF(StudentData[[#This Row],[GradeDrop]]=1,50,0)</f>
        <v>0</v>
      </c>
      <c r="AN282">
        <f>0.4*StudentData[[#This Row],[FailureScore]]+0.3*StudentData[[#This Row],[AbsenceScore]]+0.2*StudentData[[#This Row],[StudyRisk]]+0.1*StudentData[[#This Row],[TrendRisk]]</f>
        <v>8</v>
      </c>
      <c r="AO282" t="str">
        <f>IF(StudentData[[#This Row],[RiskIndex]]&lt;=30,"Low",IF(StudentData[[#This Row],[RiskIndex]]&lt;=60,"Medium","High"))</f>
        <v>Low</v>
      </c>
      <c r="AP282">
        <f>StudentData[[#This Row],[G3]]+('Intervention Simulator'!$C$2*1.5)</f>
        <v>10</v>
      </c>
      <c r="AQ282" t="str">
        <f>IF(StudentData[[#This Row],[ProjectedGrade]]&gt;=10,"Pass","Fail")</f>
        <v>Pass</v>
      </c>
    </row>
    <row r="283" spans="1:43" x14ac:dyDescent="0.3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  <c r="AH283" t="str">
        <f>IF(StudentData[[#This Row],[G3]]&gt;=10,"Pass","Fail")</f>
        <v>Pass</v>
      </c>
      <c r="AI283">
        <f>IF(StudentData[[#This Row],[G3]]&lt;StudentData[[#This Row],[G2]],1,0)</f>
        <v>1</v>
      </c>
      <c r="AJ283">
        <f>IF(StudentData[[#This Row],[failures]]&gt;=2,100,IF(StudentData[[#This Row],[failures]]=1,60,0))</f>
        <v>0</v>
      </c>
      <c r="AK283">
        <f>IF(StudentData[[#This Row],[absences]]&gt;15,80,IF(StudentData[[#This Row],[absences]]&gt;10,50,0))</f>
        <v>0</v>
      </c>
      <c r="AL283">
        <f>IF(StudentData[[#This Row],[studytime]]=1,70,IF(StudentData[[#This Row],[studytime]]=2,40,0))</f>
        <v>70</v>
      </c>
      <c r="AM283">
        <f>IF(StudentData[[#This Row],[GradeDrop]]=1,50,0)</f>
        <v>50</v>
      </c>
      <c r="AN283">
        <f>0.4*StudentData[[#This Row],[FailureScore]]+0.3*StudentData[[#This Row],[AbsenceScore]]+0.2*StudentData[[#This Row],[StudyRisk]]+0.1*StudentData[[#This Row],[TrendRisk]]</f>
        <v>19</v>
      </c>
      <c r="AO283" t="str">
        <f>IF(StudentData[[#This Row],[RiskIndex]]&lt;=30,"Low",IF(StudentData[[#This Row],[RiskIndex]]&lt;=60,"Medium","High"))</f>
        <v>Low</v>
      </c>
      <c r="AP283">
        <f>StudentData[[#This Row],[G3]]+('Intervention Simulator'!$C$2*1.5)</f>
        <v>11</v>
      </c>
      <c r="AQ283" t="str">
        <f>IF(StudentData[[#This Row],[ProjectedGrade]]&gt;=10,"Pass","Fail")</f>
        <v>Pass</v>
      </c>
    </row>
    <row r="284" spans="1:43" x14ac:dyDescent="0.3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  <c r="AH284" t="str">
        <f>IF(StudentData[[#This Row],[G3]]&gt;=10,"Pass","Fail")</f>
        <v>Fail</v>
      </c>
      <c r="AI284">
        <f>IF(StudentData[[#This Row],[G3]]&lt;StudentData[[#This Row],[G2]],1,0)</f>
        <v>1</v>
      </c>
      <c r="AJ284">
        <f>IF(StudentData[[#This Row],[failures]]&gt;=2,100,IF(StudentData[[#This Row],[failures]]=1,60,0))</f>
        <v>0</v>
      </c>
      <c r="AK284">
        <f>IF(StudentData[[#This Row],[absences]]&gt;15,80,IF(StudentData[[#This Row],[absences]]&gt;10,50,0))</f>
        <v>0</v>
      </c>
      <c r="AL284">
        <f>IF(StudentData[[#This Row],[studytime]]=1,70,IF(StudentData[[#This Row],[studytime]]=2,40,0))</f>
        <v>70</v>
      </c>
      <c r="AM284">
        <f>IF(StudentData[[#This Row],[GradeDrop]]=1,50,0)</f>
        <v>50</v>
      </c>
      <c r="AN284">
        <f>0.4*StudentData[[#This Row],[FailureScore]]+0.3*StudentData[[#This Row],[AbsenceScore]]+0.2*StudentData[[#This Row],[StudyRisk]]+0.1*StudentData[[#This Row],[TrendRisk]]</f>
        <v>19</v>
      </c>
      <c r="AO284" t="str">
        <f>IF(StudentData[[#This Row],[RiskIndex]]&lt;=30,"Low",IF(StudentData[[#This Row],[RiskIndex]]&lt;=60,"Medium","High"))</f>
        <v>Low</v>
      </c>
      <c r="AP284">
        <f>StudentData[[#This Row],[G3]]+('Intervention Simulator'!$C$2*1.5)</f>
        <v>7</v>
      </c>
      <c r="AQ284" t="str">
        <f>IF(StudentData[[#This Row],[ProjectedGrade]]&gt;=10,"Pass","Fail")</f>
        <v>Fail</v>
      </c>
    </row>
    <row r="285" spans="1:43" x14ac:dyDescent="0.3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  <c r="AH285" t="str">
        <f>IF(StudentData[[#This Row],[G3]]&gt;=10,"Pass","Fail")</f>
        <v>Pass</v>
      </c>
      <c r="AI285">
        <f>IF(StudentData[[#This Row],[G3]]&lt;StudentData[[#This Row],[G2]],1,0)</f>
        <v>1</v>
      </c>
      <c r="AJ285">
        <f>IF(StudentData[[#This Row],[failures]]&gt;=2,100,IF(StudentData[[#This Row],[failures]]=1,60,0))</f>
        <v>60</v>
      </c>
      <c r="AK285">
        <f>IF(StudentData[[#This Row],[absences]]&gt;15,80,IF(StudentData[[#This Row],[absences]]&gt;10,50,0))</f>
        <v>0</v>
      </c>
      <c r="AL285">
        <f>IF(StudentData[[#This Row],[studytime]]=1,70,IF(StudentData[[#This Row],[studytime]]=2,40,0))</f>
        <v>40</v>
      </c>
      <c r="AM285">
        <f>IF(StudentData[[#This Row],[GradeDrop]]=1,50,0)</f>
        <v>50</v>
      </c>
      <c r="AN285">
        <f>0.4*StudentData[[#This Row],[FailureScore]]+0.3*StudentData[[#This Row],[AbsenceScore]]+0.2*StudentData[[#This Row],[StudyRisk]]+0.1*StudentData[[#This Row],[TrendRisk]]</f>
        <v>37</v>
      </c>
      <c r="AO285" t="str">
        <f>IF(StudentData[[#This Row],[RiskIndex]]&lt;=30,"Low",IF(StudentData[[#This Row],[RiskIndex]]&lt;=60,"Medium","High"))</f>
        <v>Medium</v>
      </c>
      <c r="AP285">
        <f>StudentData[[#This Row],[G3]]+('Intervention Simulator'!$C$2*1.5)</f>
        <v>10</v>
      </c>
      <c r="AQ285" t="str">
        <f>IF(StudentData[[#This Row],[ProjectedGrade]]&gt;=10,"Pass","Fail")</f>
        <v>Pass</v>
      </c>
    </row>
    <row r="286" spans="1:43" x14ac:dyDescent="0.3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  <c r="AH286" t="str">
        <f>IF(StudentData[[#This Row],[G3]]&gt;=10,"Pass","Fail")</f>
        <v>Fail</v>
      </c>
      <c r="AI286">
        <f>IF(StudentData[[#This Row],[G3]]&lt;StudentData[[#This Row],[G2]],1,0)</f>
        <v>1</v>
      </c>
      <c r="AJ286">
        <f>IF(StudentData[[#This Row],[failures]]&gt;=2,100,IF(StudentData[[#This Row],[failures]]=1,60,0))</f>
        <v>100</v>
      </c>
      <c r="AK286">
        <f>IF(StudentData[[#This Row],[absences]]&gt;15,80,IF(StudentData[[#This Row],[absences]]&gt;10,50,0))</f>
        <v>0</v>
      </c>
      <c r="AL286">
        <f>IF(StudentData[[#This Row],[studytime]]=1,70,IF(StudentData[[#This Row],[studytime]]=2,40,0))</f>
        <v>70</v>
      </c>
      <c r="AM286">
        <f>IF(StudentData[[#This Row],[GradeDrop]]=1,50,0)</f>
        <v>50</v>
      </c>
      <c r="AN286">
        <f>0.4*StudentData[[#This Row],[FailureScore]]+0.3*StudentData[[#This Row],[AbsenceScore]]+0.2*StudentData[[#This Row],[StudyRisk]]+0.1*StudentData[[#This Row],[TrendRisk]]</f>
        <v>59</v>
      </c>
      <c r="AO286" t="str">
        <f>IF(StudentData[[#This Row],[RiskIndex]]&lt;=30,"Low",IF(StudentData[[#This Row],[RiskIndex]]&lt;=60,"Medium","High"))</f>
        <v>Medium</v>
      </c>
      <c r="AP286">
        <f>StudentData[[#This Row],[G3]]+('Intervention Simulator'!$C$2*1.5)</f>
        <v>6</v>
      </c>
      <c r="AQ286" t="str">
        <f>IF(StudentData[[#This Row],[ProjectedGrade]]&gt;=10,"Pass","Fail")</f>
        <v>Fail</v>
      </c>
    </row>
    <row r="287" spans="1:43" x14ac:dyDescent="0.3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  <c r="AH287" t="str">
        <f>IF(StudentData[[#This Row],[G3]]&gt;=10,"Pass","Fail")</f>
        <v>Pass</v>
      </c>
      <c r="AI287">
        <f>IF(StudentData[[#This Row],[G3]]&lt;StudentData[[#This Row],[G2]],1,0)</f>
        <v>1</v>
      </c>
      <c r="AJ287">
        <f>IF(StudentData[[#This Row],[failures]]&gt;=2,100,IF(StudentData[[#This Row],[failures]]=1,60,0))</f>
        <v>0</v>
      </c>
      <c r="AK287">
        <f>IF(StudentData[[#This Row],[absences]]&gt;15,80,IF(StudentData[[#This Row],[absences]]&gt;10,50,0))</f>
        <v>0</v>
      </c>
      <c r="AL287">
        <f>IF(StudentData[[#This Row],[studytime]]=1,70,IF(StudentData[[#This Row],[studytime]]=2,40,0))</f>
        <v>70</v>
      </c>
      <c r="AM287">
        <f>IF(StudentData[[#This Row],[GradeDrop]]=1,50,0)</f>
        <v>50</v>
      </c>
      <c r="AN287">
        <f>0.4*StudentData[[#This Row],[FailureScore]]+0.3*StudentData[[#This Row],[AbsenceScore]]+0.2*StudentData[[#This Row],[StudyRisk]]+0.1*StudentData[[#This Row],[TrendRisk]]</f>
        <v>19</v>
      </c>
      <c r="AO287" t="str">
        <f>IF(StudentData[[#This Row],[RiskIndex]]&lt;=30,"Low",IF(StudentData[[#This Row],[RiskIndex]]&lt;=60,"Medium","High"))</f>
        <v>Low</v>
      </c>
      <c r="AP287">
        <f>StudentData[[#This Row],[G3]]+('Intervention Simulator'!$C$2*1.5)</f>
        <v>12</v>
      </c>
      <c r="AQ287" t="str">
        <f>IF(StudentData[[#This Row],[ProjectedGrade]]&gt;=10,"Pass","Fail")</f>
        <v>Pass</v>
      </c>
    </row>
    <row r="288" spans="1:43" x14ac:dyDescent="0.3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  <c r="AH288" t="str">
        <f>IF(StudentData[[#This Row],[G3]]&gt;=10,"Pass","Fail")</f>
        <v>Pass</v>
      </c>
      <c r="AI288">
        <f>IF(StudentData[[#This Row],[G3]]&lt;StudentData[[#This Row],[G2]],1,0)</f>
        <v>0</v>
      </c>
      <c r="AJ288">
        <f>IF(StudentData[[#This Row],[failures]]&gt;=2,100,IF(StudentData[[#This Row],[failures]]=1,60,0))</f>
        <v>0</v>
      </c>
      <c r="AK288">
        <f>IF(StudentData[[#This Row],[absences]]&gt;15,80,IF(StudentData[[#This Row],[absences]]&gt;10,50,0))</f>
        <v>0</v>
      </c>
      <c r="AL288">
        <f>IF(StudentData[[#This Row],[studytime]]=1,70,IF(StudentData[[#This Row],[studytime]]=2,40,0))</f>
        <v>70</v>
      </c>
      <c r="AM288">
        <f>IF(StudentData[[#This Row],[GradeDrop]]=1,50,0)</f>
        <v>0</v>
      </c>
      <c r="AN288">
        <f>0.4*StudentData[[#This Row],[FailureScore]]+0.3*StudentData[[#This Row],[AbsenceScore]]+0.2*StudentData[[#This Row],[StudyRisk]]+0.1*StudentData[[#This Row],[TrendRisk]]</f>
        <v>14</v>
      </c>
      <c r="AO288" t="str">
        <f>IF(StudentData[[#This Row],[RiskIndex]]&lt;=30,"Low",IF(StudentData[[#This Row],[RiskIndex]]&lt;=60,"Medium","High"))</f>
        <v>Low</v>
      </c>
      <c r="AP288">
        <f>StudentData[[#This Row],[G3]]+('Intervention Simulator'!$C$2*1.5)</f>
        <v>13</v>
      </c>
      <c r="AQ288" t="str">
        <f>IF(StudentData[[#This Row],[ProjectedGrade]]&gt;=10,"Pass","Fail")</f>
        <v>Pass</v>
      </c>
    </row>
    <row r="289" spans="1:43" x14ac:dyDescent="0.3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  <c r="AH289" t="str">
        <f>IF(StudentData[[#This Row],[G3]]&gt;=10,"Pass","Fail")</f>
        <v>Pass</v>
      </c>
      <c r="AI289">
        <f>IF(StudentData[[#This Row],[G3]]&lt;StudentData[[#This Row],[G2]],1,0)</f>
        <v>0</v>
      </c>
      <c r="AJ289">
        <f>IF(StudentData[[#This Row],[failures]]&gt;=2,100,IF(StudentData[[#This Row],[failures]]=1,60,0))</f>
        <v>60</v>
      </c>
      <c r="AK289">
        <f>IF(StudentData[[#This Row],[absences]]&gt;15,80,IF(StudentData[[#This Row],[absences]]&gt;10,50,0))</f>
        <v>0</v>
      </c>
      <c r="AL289">
        <f>IF(StudentData[[#This Row],[studytime]]=1,70,IF(StudentData[[#This Row],[studytime]]=2,40,0))</f>
        <v>70</v>
      </c>
      <c r="AM289">
        <f>IF(StudentData[[#This Row],[GradeDrop]]=1,50,0)</f>
        <v>0</v>
      </c>
      <c r="AN289">
        <f>0.4*StudentData[[#This Row],[FailureScore]]+0.3*StudentData[[#This Row],[AbsenceScore]]+0.2*StudentData[[#This Row],[StudyRisk]]+0.1*StudentData[[#This Row],[TrendRisk]]</f>
        <v>38</v>
      </c>
      <c r="AO289" t="str">
        <f>IF(StudentData[[#This Row],[RiskIndex]]&lt;=30,"Low",IF(StudentData[[#This Row],[RiskIndex]]&lt;=60,"Medium","High"))</f>
        <v>Medium</v>
      </c>
      <c r="AP289">
        <f>StudentData[[#This Row],[G3]]+('Intervention Simulator'!$C$2*1.5)</f>
        <v>10</v>
      </c>
      <c r="AQ289" t="str">
        <f>IF(StudentData[[#This Row],[ProjectedGrade]]&gt;=10,"Pass","Fail")</f>
        <v>Pass</v>
      </c>
    </row>
    <row r="290" spans="1:43" x14ac:dyDescent="0.3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  <c r="AH290" t="str">
        <f>IF(StudentData[[#This Row],[G3]]&gt;=10,"Pass","Fail")</f>
        <v>Pass</v>
      </c>
      <c r="AI290">
        <f>IF(StudentData[[#This Row],[G3]]&lt;StudentData[[#This Row],[G2]],1,0)</f>
        <v>0</v>
      </c>
      <c r="AJ290">
        <f>IF(StudentData[[#This Row],[failures]]&gt;=2,100,IF(StudentData[[#This Row],[failures]]=1,60,0))</f>
        <v>0</v>
      </c>
      <c r="AK290">
        <f>IF(StudentData[[#This Row],[absences]]&gt;15,80,IF(StudentData[[#This Row],[absences]]&gt;10,50,0))</f>
        <v>0</v>
      </c>
      <c r="AL290">
        <f>IF(StudentData[[#This Row],[studytime]]=1,70,IF(StudentData[[#This Row],[studytime]]=2,40,0))</f>
        <v>40</v>
      </c>
      <c r="AM290">
        <f>IF(StudentData[[#This Row],[GradeDrop]]=1,50,0)</f>
        <v>0</v>
      </c>
      <c r="AN290">
        <f>0.4*StudentData[[#This Row],[FailureScore]]+0.3*StudentData[[#This Row],[AbsenceScore]]+0.2*StudentData[[#This Row],[StudyRisk]]+0.1*StudentData[[#This Row],[TrendRisk]]</f>
        <v>8</v>
      </c>
      <c r="AO290" t="str">
        <f>IF(StudentData[[#This Row],[RiskIndex]]&lt;=30,"Low",IF(StudentData[[#This Row],[RiskIndex]]&lt;=60,"Medium","High"))</f>
        <v>Low</v>
      </c>
      <c r="AP290">
        <f>StudentData[[#This Row],[G3]]+('Intervention Simulator'!$C$2*1.5)</f>
        <v>13</v>
      </c>
      <c r="AQ290" t="str">
        <f>IF(StudentData[[#This Row],[ProjectedGrade]]&gt;=10,"Pass","Fail")</f>
        <v>Pass</v>
      </c>
    </row>
    <row r="291" spans="1:43" x14ac:dyDescent="0.3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  <c r="AH291" t="str">
        <f>IF(StudentData[[#This Row],[G3]]&gt;=10,"Pass","Fail")</f>
        <v>Pass</v>
      </c>
      <c r="AI291">
        <f>IF(StudentData[[#This Row],[G3]]&lt;StudentData[[#This Row],[G2]],1,0)</f>
        <v>0</v>
      </c>
      <c r="AJ291">
        <f>IF(StudentData[[#This Row],[failures]]&gt;=2,100,IF(StudentData[[#This Row],[failures]]=1,60,0))</f>
        <v>0</v>
      </c>
      <c r="AK291">
        <f>IF(StudentData[[#This Row],[absences]]&gt;15,80,IF(StudentData[[#This Row],[absences]]&gt;10,50,0))</f>
        <v>0</v>
      </c>
      <c r="AL291">
        <f>IF(StudentData[[#This Row],[studytime]]=1,70,IF(StudentData[[#This Row],[studytime]]=2,40,0))</f>
        <v>0</v>
      </c>
      <c r="AM291">
        <f>IF(StudentData[[#This Row],[GradeDrop]]=1,50,0)</f>
        <v>0</v>
      </c>
      <c r="AN291">
        <f>0.4*StudentData[[#This Row],[FailureScore]]+0.3*StudentData[[#This Row],[AbsenceScore]]+0.2*StudentData[[#This Row],[StudyRisk]]+0.1*StudentData[[#This Row],[TrendRisk]]</f>
        <v>0</v>
      </c>
      <c r="AO291" t="str">
        <f>IF(StudentData[[#This Row],[RiskIndex]]&lt;=30,"Low",IF(StudentData[[#This Row],[RiskIndex]]&lt;=60,"Medium","High"))</f>
        <v>Low</v>
      </c>
      <c r="AP291">
        <f>StudentData[[#This Row],[G3]]+('Intervention Simulator'!$C$2*1.5)</f>
        <v>17</v>
      </c>
      <c r="AQ291" t="str">
        <f>IF(StudentData[[#This Row],[ProjectedGrade]]&gt;=10,"Pass","Fail")</f>
        <v>Pass</v>
      </c>
    </row>
    <row r="292" spans="1:43" x14ac:dyDescent="0.3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  <c r="AH292" t="str">
        <f>IF(StudentData[[#This Row],[G3]]&gt;=10,"Pass","Fail")</f>
        <v>Pass</v>
      </c>
      <c r="AI292">
        <f>IF(StudentData[[#This Row],[G3]]&lt;StudentData[[#This Row],[G2]],1,0)</f>
        <v>0</v>
      </c>
      <c r="AJ292">
        <f>IF(StudentData[[#This Row],[failures]]&gt;=2,100,IF(StudentData[[#This Row],[failures]]=1,60,0))</f>
        <v>0</v>
      </c>
      <c r="AK292">
        <f>IF(StudentData[[#This Row],[absences]]&gt;15,80,IF(StudentData[[#This Row],[absences]]&gt;10,50,0))</f>
        <v>0</v>
      </c>
      <c r="AL292">
        <f>IF(StudentData[[#This Row],[studytime]]=1,70,IF(StudentData[[#This Row],[studytime]]=2,40,0))</f>
        <v>40</v>
      </c>
      <c r="AM292">
        <f>IF(StudentData[[#This Row],[GradeDrop]]=1,50,0)</f>
        <v>0</v>
      </c>
      <c r="AN292">
        <f>0.4*StudentData[[#This Row],[FailureScore]]+0.3*StudentData[[#This Row],[AbsenceScore]]+0.2*StudentData[[#This Row],[StudyRisk]]+0.1*StudentData[[#This Row],[TrendRisk]]</f>
        <v>8</v>
      </c>
      <c r="AO292" t="str">
        <f>IF(StudentData[[#This Row],[RiskIndex]]&lt;=30,"Low",IF(StudentData[[#This Row],[RiskIndex]]&lt;=60,"Medium","High"))</f>
        <v>Low</v>
      </c>
      <c r="AP292">
        <f>StudentData[[#This Row],[G3]]+('Intervention Simulator'!$C$2*1.5)</f>
        <v>11</v>
      </c>
      <c r="AQ292" t="str">
        <f>IF(StudentData[[#This Row],[ProjectedGrade]]&gt;=10,"Pass","Fail")</f>
        <v>Pass</v>
      </c>
    </row>
    <row r="293" spans="1:43" x14ac:dyDescent="0.3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  <c r="AH293" t="str">
        <f>IF(StudentData[[#This Row],[G3]]&gt;=10,"Pass","Fail")</f>
        <v>Pass</v>
      </c>
      <c r="AI293">
        <f>IF(StudentData[[#This Row],[G3]]&lt;StudentData[[#This Row],[G2]],1,0)</f>
        <v>0</v>
      </c>
      <c r="AJ293">
        <f>IF(StudentData[[#This Row],[failures]]&gt;=2,100,IF(StudentData[[#This Row],[failures]]=1,60,0))</f>
        <v>60</v>
      </c>
      <c r="AK293">
        <f>IF(StudentData[[#This Row],[absences]]&gt;15,80,IF(StudentData[[#This Row],[absences]]&gt;10,50,0))</f>
        <v>0</v>
      </c>
      <c r="AL293">
        <f>IF(StudentData[[#This Row],[studytime]]=1,70,IF(StudentData[[#This Row],[studytime]]=2,40,0))</f>
        <v>40</v>
      </c>
      <c r="AM293">
        <f>IF(StudentData[[#This Row],[GradeDrop]]=1,50,0)</f>
        <v>0</v>
      </c>
      <c r="AN293">
        <f>0.4*StudentData[[#This Row],[FailureScore]]+0.3*StudentData[[#This Row],[AbsenceScore]]+0.2*StudentData[[#This Row],[StudyRisk]]+0.1*StudentData[[#This Row],[TrendRisk]]</f>
        <v>32</v>
      </c>
      <c r="AO293" t="str">
        <f>IF(StudentData[[#This Row],[RiskIndex]]&lt;=30,"Low",IF(StudentData[[#This Row],[RiskIndex]]&lt;=60,"Medium","High"))</f>
        <v>Medium</v>
      </c>
      <c r="AP293">
        <f>StudentData[[#This Row],[G3]]+('Intervention Simulator'!$C$2*1.5)</f>
        <v>11</v>
      </c>
      <c r="AQ293" t="str">
        <f>IF(StudentData[[#This Row],[ProjectedGrade]]&gt;=10,"Pass","Fail")</f>
        <v>Pass</v>
      </c>
    </row>
    <row r="294" spans="1:43" x14ac:dyDescent="0.3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  <c r="AH294" t="str">
        <f>IF(StudentData[[#This Row],[G3]]&gt;=10,"Pass","Fail")</f>
        <v>Pass</v>
      </c>
      <c r="AI294">
        <f>IF(StudentData[[#This Row],[G3]]&lt;StudentData[[#This Row],[G2]],1,0)</f>
        <v>0</v>
      </c>
      <c r="AJ294">
        <f>IF(StudentData[[#This Row],[failures]]&gt;=2,100,IF(StudentData[[#This Row],[failures]]=1,60,0))</f>
        <v>0</v>
      </c>
      <c r="AK294">
        <f>IF(StudentData[[#This Row],[absences]]&gt;15,80,IF(StudentData[[#This Row],[absences]]&gt;10,50,0))</f>
        <v>0</v>
      </c>
      <c r="AL294">
        <f>IF(StudentData[[#This Row],[studytime]]=1,70,IF(StudentData[[#This Row],[studytime]]=2,40,0))</f>
        <v>0</v>
      </c>
      <c r="AM294">
        <f>IF(StudentData[[#This Row],[GradeDrop]]=1,50,0)</f>
        <v>0</v>
      </c>
      <c r="AN294">
        <f>0.4*StudentData[[#This Row],[FailureScore]]+0.3*StudentData[[#This Row],[AbsenceScore]]+0.2*StudentData[[#This Row],[StudyRisk]]+0.1*StudentData[[#This Row],[TrendRisk]]</f>
        <v>0</v>
      </c>
      <c r="AO294" t="str">
        <f>IF(StudentData[[#This Row],[RiskIndex]]&lt;=30,"Low",IF(StudentData[[#This Row],[RiskIndex]]&lt;=60,"Medium","High"))</f>
        <v>Low</v>
      </c>
      <c r="AP294">
        <f>StudentData[[#This Row],[G3]]+('Intervention Simulator'!$C$2*1.5)</f>
        <v>14</v>
      </c>
      <c r="AQ294" t="str">
        <f>IF(StudentData[[#This Row],[ProjectedGrade]]&gt;=10,"Pass","Fail")</f>
        <v>Pass</v>
      </c>
    </row>
    <row r="295" spans="1:43" x14ac:dyDescent="0.3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  <c r="AH295" t="str">
        <f>IF(StudentData[[#This Row],[G3]]&gt;=10,"Pass","Fail")</f>
        <v>Pass</v>
      </c>
      <c r="AI295">
        <f>IF(StudentData[[#This Row],[G3]]&lt;StudentData[[#This Row],[G2]],1,0)</f>
        <v>0</v>
      </c>
      <c r="AJ295">
        <f>IF(StudentData[[#This Row],[failures]]&gt;=2,100,IF(StudentData[[#This Row],[failures]]=1,60,0))</f>
        <v>0</v>
      </c>
      <c r="AK295">
        <f>IF(StudentData[[#This Row],[absences]]&gt;15,80,IF(StudentData[[#This Row],[absences]]&gt;10,50,0))</f>
        <v>0</v>
      </c>
      <c r="AL295">
        <f>IF(StudentData[[#This Row],[studytime]]=1,70,IF(StudentData[[#This Row],[studytime]]=2,40,0))</f>
        <v>0</v>
      </c>
      <c r="AM295">
        <f>IF(StudentData[[#This Row],[GradeDrop]]=1,50,0)</f>
        <v>0</v>
      </c>
      <c r="AN295">
        <f>0.4*StudentData[[#This Row],[FailureScore]]+0.3*StudentData[[#This Row],[AbsenceScore]]+0.2*StudentData[[#This Row],[StudyRisk]]+0.1*StudentData[[#This Row],[TrendRisk]]</f>
        <v>0</v>
      </c>
      <c r="AO295" t="str">
        <f>IF(StudentData[[#This Row],[RiskIndex]]&lt;=30,"Low",IF(StudentData[[#This Row],[RiskIndex]]&lt;=60,"Medium","High"))</f>
        <v>Low</v>
      </c>
      <c r="AP295">
        <f>StudentData[[#This Row],[G3]]+('Intervention Simulator'!$C$2*1.5)</f>
        <v>14</v>
      </c>
      <c r="AQ295" t="str">
        <f>IF(StudentData[[#This Row],[ProjectedGrade]]&gt;=10,"Pass","Fail")</f>
        <v>Pass</v>
      </c>
    </row>
    <row r="296" spans="1:43" x14ac:dyDescent="0.3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  <c r="AH296" t="str">
        <f>IF(StudentData[[#This Row],[G3]]&gt;=10,"Pass","Fail")</f>
        <v>Pass</v>
      </c>
      <c r="AI296">
        <f>IF(StudentData[[#This Row],[G3]]&lt;StudentData[[#This Row],[G2]],1,0)</f>
        <v>0</v>
      </c>
      <c r="AJ296">
        <f>IF(StudentData[[#This Row],[failures]]&gt;=2,100,IF(StudentData[[#This Row],[failures]]=1,60,0))</f>
        <v>0</v>
      </c>
      <c r="AK296">
        <f>IF(StudentData[[#This Row],[absences]]&gt;15,80,IF(StudentData[[#This Row],[absences]]&gt;10,50,0))</f>
        <v>0</v>
      </c>
      <c r="AL296">
        <f>IF(StudentData[[#This Row],[studytime]]=1,70,IF(StudentData[[#This Row],[studytime]]=2,40,0))</f>
        <v>40</v>
      </c>
      <c r="AM296">
        <f>IF(StudentData[[#This Row],[GradeDrop]]=1,50,0)</f>
        <v>0</v>
      </c>
      <c r="AN296">
        <f>0.4*StudentData[[#This Row],[FailureScore]]+0.3*StudentData[[#This Row],[AbsenceScore]]+0.2*StudentData[[#This Row],[StudyRisk]]+0.1*StudentData[[#This Row],[TrendRisk]]</f>
        <v>8</v>
      </c>
      <c r="AO296" t="str">
        <f>IF(StudentData[[#This Row],[RiskIndex]]&lt;=30,"Low",IF(StudentData[[#This Row],[RiskIndex]]&lt;=60,"Medium","High"))</f>
        <v>Low</v>
      </c>
      <c r="AP296">
        <f>StudentData[[#This Row],[G3]]+('Intervention Simulator'!$C$2*1.5)</f>
        <v>13</v>
      </c>
      <c r="AQ296" t="str">
        <f>IF(StudentData[[#This Row],[ProjectedGrade]]&gt;=10,"Pass","Fail")</f>
        <v>Pass</v>
      </c>
    </row>
    <row r="297" spans="1:43" x14ac:dyDescent="0.3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  <c r="AH297" t="str">
        <f>IF(StudentData[[#This Row],[G3]]&gt;=10,"Pass","Fail")</f>
        <v>Pass</v>
      </c>
      <c r="AI297">
        <f>IF(StudentData[[#This Row],[G3]]&lt;StudentData[[#This Row],[G2]],1,0)</f>
        <v>0</v>
      </c>
      <c r="AJ297">
        <f>IF(StudentData[[#This Row],[failures]]&gt;=2,100,IF(StudentData[[#This Row],[failures]]=1,60,0))</f>
        <v>0</v>
      </c>
      <c r="AK297">
        <f>IF(StudentData[[#This Row],[absences]]&gt;15,80,IF(StudentData[[#This Row],[absences]]&gt;10,50,0))</f>
        <v>0</v>
      </c>
      <c r="AL297">
        <f>IF(StudentData[[#This Row],[studytime]]=1,70,IF(StudentData[[#This Row],[studytime]]=2,40,0))</f>
        <v>40</v>
      </c>
      <c r="AM297">
        <f>IF(StudentData[[#This Row],[GradeDrop]]=1,50,0)</f>
        <v>0</v>
      </c>
      <c r="AN297">
        <f>0.4*StudentData[[#This Row],[FailureScore]]+0.3*StudentData[[#This Row],[AbsenceScore]]+0.2*StudentData[[#This Row],[StudyRisk]]+0.1*StudentData[[#This Row],[TrendRisk]]</f>
        <v>8</v>
      </c>
      <c r="AO297" t="str">
        <f>IF(StudentData[[#This Row],[RiskIndex]]&lt;=30,"Low",IF(StudentData[[#This Row],[RiskIndex]]&lt;=60,"Medium","High"))</f>
        <v>Low</v>
      </c>
      <c r="AP297">
        <f>StudentData[[#This Row],[G3]]+('Intervention Simulator'!$C$2*1.5)</f>
        <v>14</v>
      </c>
      <c r="AQ297" t="str">
        <f>IF(StudentData[[#This Row],[ProjectedGrade]]&gt;=10,"Pass","Fail")</f>
        <v>Pass</v>
      </c>
    </row>
    <row r="298" spans="1:43" x14ac:dyDescent="0.3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  <c r="AH298" t="str">
        <f>IF(StudentData[[#This Row],[G3]]&gt;=10,"Pass","Fail")</f>
        <v>Pass</v>
      </c>
      <c r="AI298">
        <f>IF(StudentData[[#This Row],[G3]]&lt;StudentData[[#This Row],[G2]],1,0)</f>
        <v>0</v>
      </c>
      <c r="AJ298">
        <f>IF(StudentData[[#This Row],[failures]]&gt;=2,100,IF(StudentData[[#This Row],[failures]]=1,60,0))</f>
        <v>0</v>
      </c>
      <c r="AK298">
        <f>IF(StudentData[[#This Row],[absences]]&gt;15,80,IF(StudentData[[#This Row],[absences]]&gt;10,50,0))</f>
        <v>0</v>
      </c>
      <c r="AL298">
        <f>IF(StudentData[[#This Row],[studytime]]=1,70,IF(StudentData[[#This Row],[studytime]]=2,40,0))</f>
        <v>40</v>
      </c>
      <c r="AM298">
        <f>IF(StudentData[[#This Row],[GradeDrop]]=1,50,0)</f>
        <v>0</v>
      </c>
      <c r="AN298">
        <f>0.4*StudentData[[#This Row],[FailureScore]]+0.3*StudentData[[#This Row],[AbsenceScore]]+0.2*StudentData[[#This Row],[StudyRisk]]+0.1*StudentData[[#This Row],[TrendRisk]]</f>
        <v>8</v>
      </c>
      <c r="AO298" t="str">
        <f>IF(StudentData[[#This Row],[RiskIndex]]&lt;=30,"Low",IF(StudentData[[#This Row],[RiskIndex]]&lt;=60,"Medium","High"))</f>
        <v>Low</v>
      </c>
      <c r="AP298">
        <f>StudentData[[#This Row],[G3]]+('Intervention Simulator'!$C$2*1.5)</f>
        <v>16</v>
      </c>
      <c r="AQ298" t="str">
        <f>IF(StudentData[[#This Row],[ProjectedGrade]]&gt;=10,"Pass","Fail")</f>
        <v>Pass</v>
      </c>
    </row>
    <row r="299" spans="1:43" x14ac:dyDescent="0.3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  <c r="AH299" t="str">
        <f>IF(StudentData[[#This Row],[G3]]&gt;=10,"Pass","Fail")</f>
        <v>Pass</v>
      </c>
      <c r="AI299">
        <f>IF(StudentData[[#This Row],[G3]]&lt;StudentData[[#This Row],[G2]],1,0)</f>
        <v>0</v>
      </c>
      <c r="AJ299">
        <f>IF(StudentData[[#This Row],[failures]]&gt;=2,100,IF(StudentData[[#This Row],[failures]]=1,60,0))</f>
        <v>0</v>
      </c>
      <c r="AK299">
        <f>IF(StudentData[[#This Row],[absences]]&gt;15,80,IF(StudentData[[#This Row],[absences]]&gt;10,50,0))</f>
        <v>0</v>
      </c>
      <c r="AL299">
        <f>IF(StudentData[[#This Row],[studytime]]=1,70,IF(StudentData[[#This Row],[studytime]]=2,40,0))</f>
        <v>70</v>
      </c>
      <c r="AM299">
        <f>IF(StudentData[[#This Row],[GradeDrop]]=1,50,0)</f>
        <v>0</v>
      </c>
      <c r="AN299">
        <f>0.4*StudentData[[#This Row],[FailureScore]]+0.3*StudentData[[#This Row],[AbsenceScore]]+0.2*StudentData[[#This Row],[StudyRisk]]+0.1*StudentData[[#This Row],[TrendRisk]]</f>
        <v>14</v>
      </c>
      <c r="AO299" t="str">
        <f>IF(StudentData[[#This Row],[RiskIndex]]&lt;=30,"Low",IF(StudentData[[#This Row],[RiskIndex]]&lt;=60,"Medium","High"))</f>
        <v>Low</v>
      </c>
      <c r="AP299">
        <f>StudentData[[#This Row],[G3]]+('Intervention Simulator'!$C$2*1.5)</f>
        <v>10</v>
      </c>
      <c r="AQ299" t="str">
        <f>IF(StudentData[[#This Row],[ProjectedGrade]]&gt;=10,"Pass","Fail")</f>
        <v>Pass</v>
      </c>
    </row>
    <row r="300" spans="1:43" x14ac:dyDescent="0.3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  <c r="AH300" t="str">
        <f>IF(StudentData[[#This Row],[G3]]&gt;=10,"Pass","Fail")</f>
        <v>Pass</v>
      </c>
      <c r="AI300">
        <f>IF(StudentData[[#This Row],[G3]]&lt;StudentData[[#This Row],[G2]],1,0)</f>
        <v>0</v>
      </c>
      <c r="AJ300">
        <f>IF(StudentData[[#This Row],[failures]]&gt;=2,100,IF(StudentData[[#This Row],[failures]]=1,60,0))</f>
        <v>0</v>
      </c>
      <c r="AK300">
        <f>IF(StudentData[[#This Row],[absences]]&gt;15,80,IF(StudentData[[#This Row],[absences]]&gt;10,50,0))</f>
        <v>0</v>
      </c>
      <c r="AL300">
        <f>IF(StudentData[[#This Row],[studytime]]=1,70,IF(StudentData[[#This Row],[studytime]]=2,40,0))</f>
        <v>0</v>
      </c>
      <c r="AM300">
        <f>IF(StudentData[[#This Row],[GradeDrop]]=1,50,0)</f>
        <v>0</v>
      </c>
      <c r="AN300">
        <f>0.4*StudentData[[#This Row],[FailureScore]]+0.3*StudentData[[#This Row],[AbsenceScore]]+0.2*StudentData[[#This Row],[StudyRisk]]+0.1*StudentData[[#This Row],[TrendRisk]]</f>
        <v>0</v>
      </c>
      <c r="AO300" t="str">
        <f>IF(StudentData[[#This Row],[RiskIndex]]&lt;=30,"Low",IF(StudentData[[#This Row],[RiskIndex]]&lt;=60,"Medium","High"))</f>
        <v>Low</v>
      </c>
      <c r="AP300">
        <f>StudentData[[#This Row],[G3]]+('Intervention Simulator'!$C$2*1.5)</f>
        <v>12</v>
      </c>
      <c r="AQ300" t="str">
        <f>IF(StudentData[[#This Row],[ProjectedGrade]]&gt;=10,"Pass","Fail")</f>
        <v>Pass</v>
      </c>
    </row>
    <row r="301" spans="1:43" x14ac:dyDescent="0.3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  <c r="AH301" t="str">
        <f>IF(StudentData[[#This Row],[G3]]&gt;=10,"Pass","Fail")</f>
        <v>Pass</v>
      </c>
      <c r="AI301">
        <f>IF(StudentData[[#This Row],[G3]]&lt;StudentData[[#This Row],[G2]],1,0)</f>
        <v>0</v>
      </c>
      <c r="AJ301">
        <f>IF(StudentData[[#This Row],[failures]]&gt;=2,100,IF(StudentData[[#This Row],[failures]]=1,60,0))</f>
        <v>0</v>
      </c>
      <c r="AK301">
        <f>IF(StudentData[[#This Row],[absences]]&gt;15,80,IF(StudentData[[#This Row],[absences]]&gt;10,50,0))</f>
        <v>0</v>
      </c>
      <c r="AL301">
        <f>IF(StudentData[[#This Row],[studytime]]=1,70,IF(StudentData[[#This Row],[studytime]]=2,40,0))</f>
        <v>40</v>
      </c>
      <c r="AM301">
        <f>IF(StudentData[[#This Row],[GradeDrop]]=1,50,0)</f>
        <v>0</v>
      </c>
      <c r="AN301">
        <f>0.4*StudentData[[#This Row],[FailureScore]]+0.3*StudentData[[#This Row],[AbsenceScore]]+0.2*StudentData[[#This Row],[StudyRisk]]+0.1*StudentData[[#This Row],[TrendRisk]]</f>
        <v>8</v>
      </c>
      <c r="AO301" t="str">
        <f>IF(StudentData[[#This Row],[RiskIndex]]&lt;=30,"Low",IF(StudentData[[#This Row],[RiskIndex]]&lt;=60,"Medium","High"))</f>
        <v>Low</v>
      </c>
      <c r="AP301">
        <f>StudentData[[#This Row],[G3]]+('Intervention Simulator'!$C$2*1.5)</f>
        <v>12</v>
      </c>
      <c r="AQ301" t="str">
        <f>IF(StudentData[[#This Row],[ProjectedGrade]]&gt;=10,"Pass","Fail")</f>
        <v>Pass</v>
      </c>
    </row>
    <row r="302" spans="1:43" x14ac:dyDescent="0.3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  <c r="AH302" t="str">
        <f>IF(StudentData[[#This Row],[G3]]&gt;=10,"Pass","Fail")</f>
        <v>Pass</v>
      </c>
      <c r="AI302">
        <f>IF(StudentData[[#This Row],[G3]]&lt;StudentData[[#This Row],[G2]],1,0)</f>
        <v>0</v>
      </c>
      <c r="AJ302">
        <f>IF(StudentData[[#This Row],[failures]]&gt;=2,100,IF(StudentData[[#This Row],[failures]]=1,60,0))</f>
        <v>0</v>
      </c>
      <c r="AK302">
        <f>IF(StudentData[[#This Row],[absences]]&gt;15,80,IF(StudentData[[#This Row],[absences]]&gt;10,50,0))</f>
        <v>0</v>
      </c>
      <c r="AL302">
        <f>IF(StudentData[[#This Row],[studytime]]=1,70,IF(StudentData[[#This Row],[studytime]]=2,40,0))</f>
        <v>40</v>
      </c>
      <c r="AM302">
        <f>IF(StudentData[[#This Row],[GradeDrop]]=1,50,0)</f>
        <v>0</v>
      </c>
      <c r="AN302">
        <f>0.4*StudentData[[#This Row],[FailureScore]]+0.3*StudentData[[#This Row],[AbsenceScore]]+0.2*StudentData[[#This Row],[StudyRisk]]+0.1*StudentData[[#This Row],[TrendRisk]]</f>
        <v>8</v>
      </c>
      <c r="AO302" t="str">
        <f>IF(StudentData[[#This Row],[RiskIndex]]&lt;=30,"Low",IF(StudentData[[#This Row],[RiskIndex]]&lt;=60,"Medium","High"))</f>
        <v>Low</v>
      </c>
      <c r="AP302">
        <f>StudentData[[#This Row],[G3]]+('Intervention Simulator'!$C$2*1.5)</f>
        <v>15</v>
      </c>
      <c r="AQ302" t="str">
        <f>IF(StudentData[[#This Row],[ProjectedGrade]]&gt;=10,"Pass","Fail")</f>
        <v>Pass</v>
      </c>
    </row>
    <row r="303" spans="1:43" x14ac:dyDescent="0.3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  <c r="AH303" t="str">
        <f>IF(StudentData[[#This Row],[G3]]&gt;=10,"Pass","Fail")</f>
        <v>Pass</v>
      </c>
      <c r="AI303">
        <f>IF(StudentData[[#This Row],[G3]]&lt;StudentData[[#This Row],[G2]],1,0)</f>
        <v>0</v>
      </c>
      <c r="AJ303">
        <f>IF(StudentData[[#This Row],[failures]]&gt;=2,100,IF(StudentData[[#This Row],[failures]]=1,60,0))</f>
        <v>0</v>
      </c>
      <c r="AK303">
        <f>IF(StudentData[[#This Row],[absences]]&gt;15,80,IF(StudentData[[#This Row],[absences]]&gt;10,50,0))</f>
        <v>0</v>
      </c>
      <c r="AL303">
        <f>IF(StudentData[[#This Row],[studytime]]=1,70,IF(StudentData[[#This Row],[studytime]]=2,40,0))</f>
        <v>40</v>
      </c>
      <c r="AM303">
        <f>IF(StudentData[[#This Row],[GradeDrop]]=1,50,0)</f>
        <v>0</v>
      </c>
      <c r="AN303">
        <f>0.4*StudentData[[#This Row],[FailureScore]]+0.3*StudentData[[#This Row],[AbsenceScore]]+0.2*StudentData[[#This Row],[StudyRisk]]+0.1*StudentData[[#This Row],[TrendRisk]]</f>
        <v>8</v>
      </c>
      <c r="AO303" t="str">
        <f>IF(StudentData[[#This Row],[RiskIndex]]&lt;=30,"Low",IF(StudentData[[#This Row],[RiskIndex]]&lt;=60,"Medium","High"))</f>
        <v>Low</v>
      </c>
      <c r="AP303">
        <f>StudentData[[#This Row],[G3]]+('Intervention Simulator'!$C$2*1.5)</f>
        <v>11</v>
      </c>
      <c r="AQ303" t="str">
        <f>IF(StudentData[[#This Row],[ProjectedGrade]]&gt;=10,"Pass","Fail")</f>
        <v>Pass</v>
      </c>
    </row>
    <row r="304" spans="1:43" x14ac:dyDescent="0.3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  <c r="AH304" t="str">
        <f>IF(StudentData[[#This Row],[G3]]&gt;=10,"Pass","Fail")</f>
        <v>Pass</v>
      </c>
      <c r="AI304">
        <f>IF(StudentData[[#This Row],[G3]]&lt;StudentData[[#This Row],[G2]],1,0)</f>
        <v>0</v>
      </c>
      <c r="AJ304">
        <f>IF(StudentData[[#This Row],[failures]]&gt;=2,100,IF(StudentData[[#This Row],[failures]]=1,60,0))</f>
        <v>0</v>
      </c>
      <c r="AK304">
        <f>IF(StudentData[[#This Row],[absences]]&gt;15,80,IF(StudentData[[#This Row],[absences]]&gt;10,50,0))</f>
        <v>0</v>
      </c>
      <c r="AL304">
        <f>IF(StudentData[[#This Row],[studytime]]=1,70,IF(StudentData[[#This Row],[studytime]]=2,40,0))</f>
        <v>0</v>
      </c>
      <c r="AM304">
        <f>IF(StudentData[[#This Row],[GradeDrop]]=1,50,0)</f>
        <v>0</v>
      </c>
      <c r="AN304">
        <f>0.4*StudentData[[#This Row],[FailureScore]]+0.3*StudentData[[#This Row],[AbsenceScore]]+0.2*StudentData[[#This Row],[StudyRisk]]+0.1*StudentData[[#This Row],[TrendRisk]]</f>
        <v>0</v>
      </c>
      <c r="AO304" t="str">
        <f>IF(StudentData[[#This Row],[RiskIndex]]&lt;=30,"Low",IF(StudentData[[#This Row],[RiskIndex]]&lt;=60,"Medium","High"))</f>
        <v>Low</v>
      </c>
      <c r="AP304">
        <f>StudentData[[#This Row],[G3]]+('Intervention Simulator'!$C$2*1.5)</f>
        <v>12</v>
      </c>
      <c r="AQ304" t="str">
        <f>IF(StudentData[[#This Row],[ProjectedGrade]]&gt;=10,"Pass","Fail")</f>
        <v>Pass</v>
      </c>
    </row>
    <row r="305" spans="1:4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  <c r="AH305" t="str">
        <f>IF(StudentData[[#This Row],[G3]]&gt;=10,"Pass","Fail")</f>
        <v>Pass</v>
      </c>
      <c r="AI305">
        <f>IF(StudentData[[#This Row],[G3]]&lt;StudentData[[#This Row],[G2]],1,0)</f>
        <v>0</v>
      </c>
      <c r="AJ305">
        <f>IF(StudentData[[#This Row],[failures]]&gt;=2,100,IF(StudentData[[#This Row],[failures]]=1,60,0))</f>
        <v>0</v>
      </c>
      <c r="AK305">
        <f>IF(StudentData[[#This Row],[absences]]&gt;15,80,IF(StudentData[[#This Row],[absences]]&gt;10,50,0))</f>
        <v>0</v>
      </c>
      <c r="AL305">
        <f>IF(StudentData[[#This Row],[studytime]]=1,70,IF(StudentData[[#This Row],[studytime]]=2,40,0))</f>
        <v>0</v>
      </c>
      <c r="AM305">
        <f>IF(StudentData[[#This Row],[GradeDrop]]=1,50,0)</f>
        <v>0</v>
      </c>
      <c r="AN305">
        <f>0.4*StudentData[[#This Row],[FailureScore]]+0.3*StudentData[[#This Row],[AbsenceScore]]+0.2*StudentData[[#This Row],[StudyRisk]]+0.1*StudentData[[#This Row],[TrendRisk]]</f>
        <v>0</v>
      </c>
      <c r="AO305" t="str">
        <f>IF(StudentData[[#This Row],[RiskIndex]]&lt;=30,"Low",IF(StudentData[[#This Row],[RiskIndex]]&lt;=60,"Medium","High"))</f>
        <v>Low</v>
      </c>
      <c r="AP305">
        <f>StudentData[[#This Row],[G3]]+('Intervention Simulator'!$C$2*1.5)</f>
        <v>13</v>
      </c>
      <c r="AQ305" t="str">
        <f>IF(StudentData[[#This Row],[ProjectedGrade]]&gt;=10,"Pass","Fail")</f>
        <v>Pass</v>
      </c>
    </row>
    <row r="306" spans="1:43" x14ac:dyDescent="0.3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  <c r="AH306" t="str">
        <f>IF(StudentData[[#This Row],[G3]]&gt;=10,"Pass","Fail")</f>
        <v>Pass</v>
      </c>
      <c r="AI306">
        <f>IF(StudentData[[#This Row],[G3]]&lt;StudentData[[#This Row],[G2]],1,0)</f>
        <v>0</v>
      </c>
      <c r="AJ306">
        <f>IF(StudentData[[#This Row],[failures]]&gt;=2,100,IF(StudentData[[#This Row],[failures]]=1,60,0))</f>
        <v>0</v>
      </c>
      <c r="AK306">
        <f>IF(StudentData[[#This Row],[absences]]&gt;15,80,IF(StudentData[[#This Row],[absences]]&gt;10,50,0))</f>
        <v>0</v>
      </c>
      <c r="AL306">
        <f>IF(StudentData[[#This Row],[studytime]]=1,70,IF(StudentData[[#This Row],[studytime]]=2,40,0))</f>
        <v>0</v>
      </c>
      <c r="AM306">
        <f>IF(StudentData[[#This Row],[GradeDrop]]=1,50,0)</f>
        <v>0</v>
      </c>
      <c r="AN306">
        <f>0.4*StudentData[[#This Row],[FailureScore]]+0.3*StudentData[[#This Row],[AbsenceScore]]+0.2*StudentData[[#This Row],[StudyRisk]]+0.1*StudentData[[#This Row],[TrendRisk]]</f>
        <v>0</v>
      </c>
      <c r="AO306" t="str">
        <f>IF(StudentData[[#This Row],[RiskIndex]]&lt;=30,"Low",IF(StudentData[[#This Row],[RiskIndex]]&lt;=60,"Medium","High"))</f>
        <v>Low</v>
      </c>
      <c r="AP306">
        <f>StudentData[[#This Row],[G3]]+('Intervention Simulator'!$C$2*1.5)</f>
        <v>13</v>
      </c>
      <c r="AQ306" t="str">
        <f>IF(StudentData[[#This Row],[ProjectedGrade]]&gt;=10,"Pass","Fail")</f>
        <v>Pass</v>
      </c>
    </row>
    <row r="307" spans="1:43" x14ac:dyDescent="0.3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  <c r="AH307" t="str">
        <f>IF(StudentData[[#This Row],[G3]]&gt;=10,"Pass","Fail")</f>
        <v>Fail</v>
      </c>
      <c r="AI307">
        <f>IF(StudentData[[#This Row],[G3]]&lt;StudentData[[#This Row],[G2]],1,0)</f>
        <v>0</v>
      </c>
      <c r="AJ307">
        <f>IF(StudentData[[#This Row],[failures]]&gt;=2,100,IF(StudentData[[#This Row],[failures]]=1,60,0))</f>
        <v>0</v>
      </c>
      <c r="AK307">
        <f>IF(StudentData[[#This Row],[absences]]&gt;15,80,IF(StudentData[[#This Row],[absences]]&gt;10,50,0))</f>
        <v>0</v>
      </c>
      <c r="AL307">
        <f>IF(StudentData[[#This Row],[studytime]]=1,70,IF(StudentData[[#This Row],[studytime]]=2,40,0))</f>
        <v>70</v>
      </c>
      <c r="AM307">
        <f>IF(StudentData[[#This Row],[GradeDrop]]=1,50,0)</f>
        <v>0</v>
      </c>
      <c r="AN307">
        <f>0.4*StudentData[[#This Row],[FailureScore]]+0.3*StudentData[[#This Row],[AbsenceScore]]+0.2*StudentData[[#This Row],[StudyRisk]]+0.1*StudentData[[#This Row],[TrendRisk]]</f>
        <v>14</v>
      </c>
      <c r="AO307" t="str">
        <f>IF(StudentData[[#This Row],[RiskIndex]]&lt;=30,"Low",IF(StudentData[[#This Row],[RiskIndex]]&lt;=60,"Medium","High"))</f>
        <v>Low</v>
      </c>
      <c r="AP307">
        <f>StudentData[[#This Row],[G3]]+('Intervention Simulator'!$C$2*1.5)</f>
        <v>9</v>
      </c>
      <c r="AQ307" t="str">
        <f>IF(StudentData[[#This Row],[ProjectedGrade]]&gt;=10,"Pass","Fail")</f>
        <v>Fail</v>
      </c>
    </row>
    <row r="308" spans="1:43" x14ac:dyDescent="0.3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  <c r="AH308" t="str">
        <f>IF(StudentData[[#This Row],[G3]]&gt;=10,"Pass","Fail")</f>
        <v>Pass</v>
      </c>
      <c r="AI308">
        <f>IF(StudentData[[#This Row],[G3]]&lt;StudentData[[#This Row],[G2]],1,0)</f>
        <v>0</v>
      </c>
      <c r="AJ308">
        <f>IF(StudentData[[#This Row],[failures]]&gt;=2,100,IF(StudentData[[#This Row],[failures]]=1,60,0))</f>
        <v>0</v>
      </c>
      <c r="AK308">
        <f>IF(StudentData[[#This Row],[absences]]&gt;15,80,IF(StudentData[[#This Row],[absences]]&gt;10,50,0))</f>
        <v>0</v>
      </c>
      <c r="AL308">
        <f>IF(StudentData[[#This Row],[studytime]]=1,70,IF(StudentData[[#This Row],[studytime]]=2,40,0))</f>
        <v>40</v>
      </c>
      <c r="AM308">
        <f>IF(StudentData[[#This Row],[GradeDrop]]=1,50,0)</f>
        <v>0</v>
      </c>
      <c r="AN308">
        <f>0.4*StudentData[[#This Row],[FailureScore]]+0.3*StudentData[[#This Row],[AbsenceScore]]+0.2*StudentData[[#This Row],[StudyRisk]]+0.1*StudentData[[#This Row],[TrendRisk]]</f>
        <v>8</v>
      </c>
      <c r="AO308" t="str">
        <f>IF(StudentData[[#This Row],[RiskIndex]]&lt;=30,"Low",IF(StudentData[[#This Row],[RiskIndex]]&lt;=60,"Medium","High"))</f>
        <v>Low</v>
      </c>
      <c r="AP308">
        <f>StudentData[[#This Row],[G3]]+('Intervention Simulator'!$C$2*1.5)</f>
        <v>16</v>
      </c>
      <c r="AQ308" t="str">
        <f>IF(StudentData[[#This Row],[ProjectedGrade]]&gt;=10,"Pass","Fail")</f>
        <v>Pass</v>
      </c>
    </row>
    <row r="309" spans="1:43" x14ac:dyDescent="0.3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  <c r="AH309" t="str">
        <f>IF(StudentData[[#This Row],[G3]]&gt;=10,"Pass","Fail")</f>
        <v>Pass</v>
      </c>
      <c r="AI309">
        <f>IF(StudentData[[#This Row],[G3]]&lt;StudentData[[#This Row],[G2]],1,0)</f>
        <v>0</v>
      </c>
      <c r="AJ309">
        <f>IF(StudentData[[#This Row],[failures]]&gt;=2,100,IF(StudentData[[#This Row],[failures]]=1,60,0))</f>
        <v>0</v>
      </c>
      <c r="AK309">
        <f>IF(StudentData[[#This Row],[absences]]&gt;15,80,IF(StudentData[[#This Row],[absences]]&gt;10,50,0))</f>
        <v>0</v>
      </c>
      <c r="AL309">
        <f>IF(StudentData[[#This Row],[studytime]]=1,70,IF(StudentData[[#This Row],[studytime]]=2,40,0))</f>
        <v>40</v>
      </c>
      <c r="AM309">
        <f>IF(StudentData[[#This Row],[GradeDrop]]=1,50,0)</f>
        <v>0</v>
      </c>
      <c r="AN309">
        <f>0.4*StudentData[[#This Row],[FailureScore]]+0.3*StudentData[[#This Row],[AbsenceScore]]+0.2*StudentData[[#This Row],[StudyRisk]]+0.1*StudentData[[#This Row],[TrendRisk]]</f>
        <v>8</v>
      </c>
      <c r="AO309" t="str">
        <f>IF(StudentData[[#This Row],[RiskIndex]]&lt;=30,"Low",IF(StudentData[[#This Row],[RiskIndex]]&lt;=60,"Medium","High"))</f>
        <v>Low</v>
      </c>
      <c r="AP309">
        <f>StudentData[[#This Row],[G3]]+('Intervention Simulator'!$C$2*1.5)</f>
        <v>14</v>
      </c>
      <c r="AQ309" t="str">
        <f>IF(StudentData[[#This Row],[ProjectedGrade]]&gt;=10,"Pass","Fail")</f>
        <v>Pass</v>
      </c>
    </row>
    <row r="310" spans="1:43" x14ac:dyDescent="0.3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  <c r="AH310" t="str">
        <f>IF(StudentData[[#This Row],[G3]]&gt;=10,"Pass","Fail")</f>
        <v>Pass</v>
      </c>
      <c r="AI310">
        <f>IF(StudentData[[#This Row],[G3]]&lt;StudentData[[#This Row],[G2]],1,0)</f>
        <v>0</v>
      </c>
      <c r="AJ310">
        <f>IF(StudentData[[#This Row],[failures]]&gt;=2,100,IF(StudentData[[#This Row],[failures]]=1,60,0))</f>
        <v>0</v>
      </c>
      <c r="AK310">
        <f>IF(StudentData[[#This Row],[absences]]&gt;15,80,IF(StudentData[[#This Row],[absences]]&gt;10,50,0))</f>
        <v>0</v>
      </c>
      <c r="AL310">
        <f>IF(StudentData[[#This Row],[studytime]]=1,70,IF(StudentData[[#This Row],[studytime]]=2,40,0))</f>
        <v>40</v>
      </c>
      <c r="AM310">
        <f>IF(StudentData[[#This Row],[GradeDrop]]=1,50,0)</f>
        <v>0</v>
      </c>
      <c r="AN310">
        <f>0.4*StudentData[[#This Row],[FailureScore]]+0.3*StudentData[[#This Row],[AbsenceScore]]+0.2*StudentData[[#This Row],[StudyRisk]]+0.1*StudentData[[#This Row],[TrendRisk]]</f>
        <v>8</v>
      </c>
      <c r="AO310" t="str">
        <f>IF(StudentData[[#This Row],[RiskIndex]]&lt;=30,"Low",IF(StudentData[[#This Row],[RiskIndex]]&lt;=60,"Medium","High"))</f>
        <v>Low</v>
      </c>
      <c r="AP310">
        <f>StudentData[[#This Row],[G3]]+('Intervention Simulator'!$C$2*1.5)</f>
        <v>12</v>
      </c>
      <c r="AQ310" t="str">
        <f>IF(StudentData[[#This Row],[ProjectedGrade]]&gt;=10,"Pass","Fail")</f>
        <v>Pass</v>
      </c>
    </row>
    <row r="311" spans="1:43" x14ac:dyDescent="0.3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  <c r="AH311" t="str">
        <f>IF(StudentData[[#This Row],[G3]]&gt;=10,"Pass","Fail")</f>
        <v>Pass</v>
      </c>
      <c r="AI311">
        <f>IF(StudentData[[#This Row],[G3]]&lt;StudentData[[#This Row],[G2]],1,0)</f>
        <v>0</v>
      </c>
      <c r="AJ311">
        <f>IF(StudentData[[#This Row],[failures]]&gt;=2,100,IF(StudentData[[#This Row],[failures]]=1,60,0))</f>
        <v>0</v>
      </c>
      <c r="AK311">
        <f>IF(StudentData[[#This Row],[absences]]&gt;15,80,IF(StudentData[[#This Row],[absences]]&gt;10,50,0))</f>
        <v>0</v>
      </c>
      <c r="AL311">
        <f>IF(StudentData[[#This Row],[studytime]]=1,70,IF(StudentData[[#This Row],[studytime]]=2,40,0))</f>
        <v>40</v>
      </c>
      <c r="AM311">
        <f>IF(StudentData[[#This Row],[GradeDrop]]=1,50,0)</f>
        <v>0</v>
      </c>
      <c r="AN311">
        <f>0.4*StudentData[[#This Row],[FailureScore]]+0.3*StudentData[[#This Row],[AbsenceScore]]+0.2*StudentData[[#This Row],[StudyRisk]]+0.1*StudentData[[#This Row],[TrendRisk]]</f>
        <v>8</v>
      </c>
      <c r="AO311" t="str">
        <f>IF(StudentData[[#This Row],[RiskIndex]]&lt;=30,"Low",IF(StudentData[[#This Row],[RiskIndex]]&lt;=60,"Medium","High"))</f>
        <v>Low</v>
      </c>
      <c r="AP311">
        <f>StudentData[[#This Row],[G3]]+('Intervention Simulator'!$C$2*1.5)</f>
        <v>14</v>
      </c>
      <c r="AQ311" t="str">
        <f>IF(StudentData[[#This Row],[ProjectedGrade]]&gt;=10,"Pass","Fail")</f>
        <v>Pass</v>
      </c>
    </row>
    <row r="312" spans="1:43" x14ac:dyDescent="0.3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  <c r="AH312" t="str">
        <f>IF(StudentData[[#This Row],[G3]]&gt;=10,"Pass","Fail")</f>
        <v>Pass</v>
      </c>
      <c r="AI312">
        <f>IF(StudentData[[#This Row],[G3]]&lt;StudentData[[#This Row],[G2]],1,0)</f>
        <v>0</v>
      </c>
      <c r="AJ312">
        <f>IF(StudentData[[#This Row],[failures]]&gt;=2,100,IF(StudentData[[#This Row],[failures]]=1,60,0))</f>
        <v>0</v>
      </c>
      <c r="AK312">
        <f>IF(StudentData[[#This Row],[absences]]&gt;15,80,IF(StudentData[[#This Row],[absences]]&gt;10,50,0))</f>
        <v>50</v>
      </c>
      <c r="AL312">
        <f>IF(StudentData[[#This Row],[studytime]]=1,70,IF(StudentData[[#This Row],[studytime]]=2,40,0))</f>
        <v>40</v>
      </c>
      <c r="AM312">
        <f>IF(StudentData[[#This Row],[GradeDrop]]=1,50,0)</f>
        <v>0</v>
      </c>
      <c r="AN312">
        <f>0.4*StudentData[[#This Row],[FailureScore]]+0.3*StudentData[[#This Row],[AbsenceScore]]+0.2*StudentData[[#This Row],[StudyRisk]]+0.1*StudentData[[#This Row],[TrendRisk]]</f>
        <v>23</v>
      </c>
      <c r="AO312" t="str">
        <f>IF(StudentData[[#This Row],[RiskIndex]]&lt;=30,"Low",IF(StudentData[[#This Row],[RiskIndex]]&lt;=60,"Medium","High"))</f>
        <v>Low</v>
      </c>
      <c r="AP312">
        <f>StudentData[[#This Row],[G3]]+('Intervention Simulator'!$C$2*1.5)</f>
        <v>10</v>
      </c>
      <c r="AQ312" t="str">
        <f>IF(StudentData[[#This Row],[ProjectedGrade]]&gt;=10,"Pass","Fail")</f>
        <v>Pass</v>
      </c>
    </row>
    <row r="313" spans="1:4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  <c r="AH313" t="str">
        <f>IF(StudentData[[#This Row],[G3]]&gt;=10,"Pass","Fail")</f>
        <v>Pass</v>
      </c>
      <c r="AI313">
        <f>IF(StudentData[[#This Row],[G3]]&lt;StudentData[[#This Row],[G2]],1,0)</f>
        <v>0</v>
      </c>
      <c r="AJ313">
        <f>IF(StudentData[[#This Row],[failures]]&gt;=2,100,IF(StudentData[[#This Row],[failures]]=1,60,0))</f>
        <v>0</v>
      </c>
      <c r="AK313">
        <f>IF(StudentData[[#This Row],[absences]]&gt;15,80,IF(StudentData[[#This Row],[absences]]&gt;10,50,0))</f>
        <v>80</v>
      </c>
      <c r="AL313">
        <f>IF(StudentData[[#This Row],[studytime]]=1,70,IF(StudentData[[#This Row],[studytime]]=2,40,0))</f>
        <v>40</v>
      </c>
      <c r="AM313">
        <f>IF(StudentData[[#This Row],[GradeDrop]]=1,50,0)</f>
        <v>0</v>
      </c>
      <c r="AN313">
        <f>0.4*StudentData[[#This Row],[FailureScore]]+0.3*StudentData[[#This Row],[AbsenceScore]]+0.2*StudentData[[#This Row],[StudyRisk]]+0.1*StudentData[[#This Row],[TrendRisk]]</f>
        <v>32</v>
      </c>
      <c r="AO313" t="str">
        <f>IF(StudentData[[#This Row],[RiskIndex]]&lt;=30,"Low",IF(StudentData[[#This Row],[RiskIndex]]&lt;=60,"Medium","High"))</f>
        <v>Medium</v>
      </c>
      <c r="AP313">
        <f>StudentData[[#This Row],[G3]]+('Intervention Simulator'!$C$2*1.5)</f>
        <v>12</v>
      </c>
      <c r="AQ313" t="str">
        <f>IF(StudentData[[#This Row],[ProjectedGrade]]&gt;=10,"Pass","Fail")</f>
        <v>Pass</v>
      </c>
    </row>
    <row r="314" spans="1:43" x14ac:dyDescent="0.3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  <c r="AH314" t="str">
        <f>IF(StudentData[[#This Row],[G3]]&gt;=10,"Pass","Fail")</f>
        <v>Pass</v>
      </c>
      <c r="AI314">
        <f>IF(StudentData[[#This Row],[G3]]&lt;StudentData[[#This Row],[G2]],1,0)</f>
        <v>0</v>
      </c>
      <c r="AJ314">
        <f>IF(StudentData[[#This Row],[failures]]&gt;=2,100,IF(StudentData[[#This Row],[failures]]=1,60,0))</f>
        <v>0</v>
      </c>
      <c r="AK314">
        <f>IF(StudentData[[#This Row],[absences]]&gt;15,80,IF(StudentData[[#This Row],[absences]]&gt;10,50,0))</f>
        <v>0</v>
      </c>
      <c r="AL314">
        <f>IF(StudentData[[#This Row],[studytime]]=1,70,IF(StudentData[[#This Row],[studytime]]=2,40,0))</f>
        <v>0</v>
      </c>
      <c r="AM314">
        <f>IF(StudentData[[#This Row],[GradeDrop]]=1,50,0)</f>
        <v>0</v>
      </c>
      <c r="AN314">
        <f>0.4*StudentData[[#This Row],[FailureScore]]+0.3*StudentData[[#This Row],[AbsenceScore]]+0.2*StudentData[[#This Row],[StudyRisk]]+0.1*StudentData[[#This Row],[TrendRisk]]</f>
        <v>0</v>
      </c>
      <c r="AO314" t="str">
        <f>IF(StudentData[[#This Row],[RiskIndex]]&lt;=30,"Low",IF(StudentData[[#This Row],[RiskIndex]]&lt;=60,"Medium","High"))</f>
        <v>Low</v>
      </c>
      <c r="AP314">
        <f>StudentData[[#This Row],[G3]]+('Intervention Simulator'!$C$2*1.5)</f>
        <v>16</v>
      </c>
      <c r="AQ314" t="str">
        <f>IF(StudentData[[#This Row],[ProjectedGrade]]&gt;=10,"Pass","Fail")</f>
        <v>Pass</v>
      </c>
    </row>
    <row r="315" spans="1:43" x14ac:dyDescent="0.3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  <c r="AH315" t="str">
        <f>IF(StudentData[[#This Row],[G3]]&gt;=10,"Pass","Fail")</f>
        <v>Pass</v>
      </c>
      <c r="AI315">
        <f>IF(StudentData[[#This Row],[G3]]&lt;StudentData[[#This Row],[G2]],1,0)</f>
        <v>0</v>
      </c>
      <c r="AJ315">
        <f>IF(StudentData[[#This Row],[failures]]&gt;=2,100,IF(StudentData[[#This Row],[failures]]=1,60,0))</f>
        <v>0</v>
      </c>
      <c r="AK315">
        <f>IF(StudentData[[#This Row],[absences]]&gt;15,80,IF(StudentData[[#This Row],[absences]]&gt;10,50,0))</f>
        <v>0</v>
      </c>
      <c r="AL315">
        <f>IF(StudentData[[#This Row],[studytime]]=1,70,IF(StudentData[[#This Row],[studytime]]=2,40,0))</f>
        <v>40</v>
      </c>
      <c r="AM315">
        <f>IF(StudentData[[#This Row],[GradeDrop]]=1,50,0)</f>
        <v>0</v>
      </c>
      <c r="AN315">
        <f>0.4*StudentData[[#This Row],[FailureScore]]+0.3*StudentData[[#This Row],[AbsenceScore]]+0.2*StudentData[[#This Row],[StudyRisk]]+0.1*StudentData[[#This Row],[TrendRisk]]</f>
        <v>8</v>
      </c>
      <c r="AO315" t="str">
        <f>IF(StudentData[[#This Row],[RiskIndex]]&lt;=30,"Low",IF(StudentData[[#This Row],[RiskIndex]]&lt;=60,"Medium","High"))</f>
        <v>Low</v>
      </c>
      <c r="AP315">
        <f>StudentData[[#This Row],[G3]]+('Intervention Simulator'!$C$2*1.5)</f>
        <v>13</v>
      </c>
      <c r="AQ315" t="str">
        <f>IF(StudentData[[#This Row],[ProjectedGrade]]&gt;=10,"Pass","Fail")</f>
        <v>Pass</v>
      </c>
    </row>
    <row r="316" spans="1:43" x14ac:dyDescent="0.3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  <c r="AH316" t="str">
        <f>IF(StudentData[[#This Row],[G3]]&gt;=10,"Pass","Fail")</f>
        <v>Pass</v>
      </c>
      <c r="AI316">
        <f>IF(StudentData[[#This Row],[G3]]&lt;StudentData[[#This Row],[G2]],1,0)</f>
        <v>0</v>
      </c>
      <c r="AJ316">
        <f>IF(StudentData[[#This Row],[failures]]&gt;=2,100,IF(StudentData[[#This Row],[failures]]=1,60,0))</f>
        <v>0</v>
      </c>
      <c r="AK316">
        <f>IF(StudentData[[#This Row],[absences]]&gt;15,80,IF(StudentData[[#This Row],[absences]]&gt;10,50,0))</f>
        <v>0</v>
      </c>
      <c r="AL316">
        <f>IF(StudentData[[#This Row],[studytime]]=1,70,IF(StudentData[[#This Row],[studytime]]=2,40,0))</f>
        <v>40</v>
      </c>
      <c r="AM316">
        <f>IF(StudentData[[#This Row],[GradeDrop]]=1,50,0)</f>
        <v>0</v>
      </c>
      <c r="AN316">
        <f>0.4*StudentData[[#This Row],[FailureScore]]+0.3*StudentData[[#This Row],[AbsenceScore]]+0.2*StudentData[[#This Row],[StudyRisk]]+0.1*StudentData[[#This Row],[TrendRisk]]</f>
        <v>8</v>
      </c>
      <c r="AO316" t="str">
        <f>IF(StudentData[[#This Row],[RiskIndex]]&lt;=30,"Low",IF(StudentData[[#This Row],[RiskIndex]]&lt;=60,"Medium","High"))</f>
        <v>Low</v>
      </c>
      <c r="AP316">
        <f>StudentData[[#This Row],[G3]]+('Intervention Simulator'!$C$2*1.5)</f>
        <v>18</v>
      </c>
      <c r="AQ316" t="str">
        <f>IF(StudentData[[#This Row],[ProjectedGrade]]&gt;=10,"Pass","Fail")</f>
        <v>Pass</v>
      </c>
    </row>
    <row r="317" spans="1:43" x14ac:dyDescent="0.3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  <c r="AH317" t="str">
        <f>IF(StudentData[[#This Row],[G3]]&gt;=10,"Pass","Fail")</f>
        <v>Pass</v>
      </c>
      <c r="AI317">
        <f>IF(StudentData[[#This Row],[G3]]&lt;StudentData[[#This Row],[G2]],1,0)</f>
        <v>0</v>
      </c>
      <c r="AJ317">
        <f>IF(StudentData[[#This Row],[failures]]&gt;=2,100,IF(StudentData[[#This Row],[failures]]=1,60,0))</f>
        <v>0</v>
      </c>
      <c r="AK317">
        <f>IF(StudentData[[#This Row],[absences]]&gt;15,80,IF(StudentData[[#This Row],[absences]]&gt;10,50,0))</f>
        <v>0</v>
      </c>
      <c r="AL317">
        <f>IF(StudentData[[#This Row],[studytime]]=1,70,IF(StudentData[[#This Row],[studytime]]=2,40,0))</f>
        <v>40</v>
      </c>
      <c r="AM317">
        <f>IF(StudentData[[#This Row],[GradeDrop]]=1,50,0)</f>
        <v>0</v>
      </c>
      <c r="AN317">
        <f>0.4*StudentData[[#This Row],[FailureScore]]+0.3*StudentData[[#This Row],[AbsenceScore]]+0.2*StudentData[[#This Row],[StudyRisk]]+0.1*StudentData[[#This Row],[TrendRisk]]</f>
        <v>8</v>
      </c>
      <c r="AO317" t="str">
        <f>IF(StudentData[[#This Row],[RiskIndex]]&lt;=30,"Low",IF(StudentData[[#This Row],[RiskIndex]]&lt;=60,"Medium","High"))</f>
        <v>Low</v>
      </c>
      <c r="AP317">
        <f>StudentData[[#This Row],[G3]]+('Intervention Simulator'!$C$2*1.5)</f>
        <v>15</v>
      </c>
      <c r="AQ317" t="str">
        <f>IF(StudentData[[#This Row],[ProjectedGrade]]&gt;=10,"Pass","Fail")</f>
        <v>Pass</v>
      </c>
    </row>
    <row r="318" spans="1:43" x14ac:dyDescent="0.3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  <c r="AH318" t="str">
        <f>IF(StudentData[[#This Row],[G3]]&gt;=10,"Pass","Fail")</f>
        <v>Pass</v>
      </c>
      <c r="AI318">
        <f>IF(StudentData[[#This Row],[G3]]&lt;StudentData[[#This Row],[G2]],1,0)</f>
        <v>0</v>
      </c>
      <c r="AJ318">
        <f>IF(StudentData[[#This Row],[failures]]&gt;=2,100,IF(StudentData[[#This Row],[failures]]=1,60,0))</f>
        <v>0</v>
      </c>
      <c r="AK318">
        <f>IF(StudentData[[#This Row],[absences]]&gt;15,80,IF(StudentData[[#This Row],[absences]]&gt;10,50,0))</f>
        <v>0</v>
      </c>
      <c r="AL318">
        <f>IF(StudentData[[#This Row],[studytime]]=1,70,IF(StudentData[[#This Row],[studytime]]=2,40,0))</f>
        <v>40</v>
      </c>
      <c r="AM318">
        <f>IF(StudentData[[#This Row],[GradeDrop]]=1,50,0)</f>
        <v>0</v>
      </c>
      <c r="AN318">
        <f>0.4*StudentData[[#This Row],[FailureScore]]+0.3*StudentData[[#This Row],[AbsenceScore]]+0.2*StudentData[[#This Row],[StudyRisk]]+0.1*StudentData[[#This Row],[TrendRisk]]</f>
        <v>8</v>
      </c>
      <c r="AO318" t="str">
        <f>IF(StudentData[[#This Row],[RiskIndex]]&lt;=30,"Low",IF(StudentData[[#This Row],[RiskIndex]]&lt;=60,"Medium","High"))</f>
        <v>Low</v>
      </c>
      <c r="AP318">
        <f>StudentData[[#This Row],[G3]]+('Intervention Simulator'!$C$2*1.5)</f>
        <v>16</v>
      </c>
      <c r="AQ318" t="str">
        <f>IF(StudentData[[#This Row],[ProjectedGrade]]&gt;=10,"Pass","Fail")</f>
        <v>Pass</v>
      </c>
    </row>
    <row r="319" spans="1:43" x14ac:dyDescent="0.3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  <c r="AH319" t="str">
        <f>IF(StudentData[[#This Row],[G3]]&gt;=10,"Pass","Fail")</f>
        <v>Pass</v>
      </c>
      <c r="AI319">
        <f>IF(StudentData[[#This Row],[G3]]&lt;StudentData[[#This Row],[G2]],1,0)</f>
        <v>0</v>
      </c>
      <c r="AJ319">
        <f>IF(StudentData[[#This Row],[failures]]&gt;=2,100,IF(StudentData[[#This Row],[failures]]=1,60,0))</f>
        <v>0</v>
      </c>
      <c r="AK319">
        <f>IF(StudentData[[#This Row],[absences]]&gt;15,80,IF(StudentData[[#This Row],[absences]]&gt;10,50,0))</f>
        <v>0</v>
      </c>
      <c r="AL319">
        <f>IF(StudentData[[#This Row],[studytime]]=1,70,IF(StudentData[[#This Row],[studytime]]=2,40,0))</f>
        <v>40</v>
      </c>
      <c r="AM319">
        <f>IF(StudentData[[#This Row],[GradeDrop]]=1,50,0)</f>
        <v>0</v>
      </c>
      <c r="AN319">
        <f>0.4*StudentData[[#This Row],[FailureScore]]+0.3*StudentData[[#This Row],[AbsenceScore]]+0.2*StudentData[[#This Row],[StudyRisk]]+0.1*StudentData[[#This Row],[TrendRisk]]</f>
        <v>8</v>
      </c>
      <c r="AO319" t="str">
        <f>IF(StudentData[[#This Row],[RiskIndex]]&lt;=30,"Low",IF(StudentData[[#This Row],[RiskIndex]]&lt;=60,"Medium","High"))</f>
        <v>Low</v>
      </c>
      <c r="AP319">
        <f>StudentData[[#This Row],[G3]]+('Intervention Simulator'!$C$2*1.5)</f>
        <v>12</v>
      </c>
      <c r="AQ319" t="str">
        <f>IF(StudentData[[#This Row],[ProjectedGrade]]&gt;=10,"Pass","Fail")</f>
        <v>Pass</v>
      </c>
    </row>
    <row r="320" spans="1:43" x14ac:dyDescent="0.3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  <c r="AH320" t="str">
        <f>IF(StudentData[[#This Row],[G3]]&gt;=10,"Pass","Fail")</f>
        <v>Pass</v>
      </c>
      <c r="AI320">
        <f>IF(StudentData[[#This Row],[G3]]&lt;StudentData[[#This Row],[G2]],1,0)</f>
        <v>0</v>
      </c>
      <c r="AJ320">
        <f>IF(StudentData[[#This Row],[failures]]&gt;=2,100,IF(StudentData[[#This Row],[failures]]=1,60,0))</f>
        <v>0</v>
      </c>
      <c r="AK320">
        <f>IF(StudentData[[#This Row],[absences]]&gt;15,80,IF(StudentData[[#This Row],[absences]]&gt;10,50,0))</f>
        <v>50</v>
      </c>
      <c r="AL320">
        <f>IF(StudentData[[#This Row],[studytime]]=1,70,IF(StudentData[[#This Row],[studytime]]=2,40,0))</f>
        <v>40</v>
      </c>
      <c r="AM320">
        <f>IF(StudentData[[#This Row],[GradeDrop]]=1,50,0)</f>
        <v>0</v>
      </c>
      <c r="AN320">
        <f>0.4*StudentData[[#This Row],[FailureScore]]+0.3*StudentData[[#This Row],[AbsenceScore]]+0.2*StudentData[[#This Row],[StudyRisk]]+0.1*StudentData[[#This Row],[TrendRisk]]</f>
        <v>23</v>
      </c>
      <c r="AO320" t="str">
        <f>IF(StudentData[[#This Row],[RiskIndex]]&lt;=30,"Low",IF(StudentData[[#This Row],[RiskIndex]]&lt;=60,"Medium","High"))</f>
        <v>Low</v>
      </c>
      <c r="AP320">
        <f>StudentData[[#This Row],[G3]]+('Intervention Simulator'!$C$2*1.5)</f>
        <v>10</v>
      </c>
      <c r="AQ320" t="str">
        <f>IF(StudentData[[#This Row],[ProjectedGrade]]&gt;=10,"Pass","Fail")</f>
        <v>Pass</v>
      </c>
    </row>
    <row r="321" spans="1:43" x14ac:dyDescent="0.3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  <c r="AH321" t="str">
        <f>IF(StudentData[[#This Row],[G3]]&gt;=10,"Pass","Fail")</f>
        <v>Pass</v>
      </c>
      <c r="AI321">
        <f>IF(StudentData[[#This Row],[G3]]&lt;StudentData[[#This Row],[G2]],1,0)</f>
        <v>0</v>
      </c>
      <c r="AJ321">
        <f>IF(StudentData[[#This Row],[failures]]&gt;=2,100,IF(StudentData[[#This Row],[failures]]=1,60,0))</f>
        <v>0</v>
      </c>
      <c r="AK321">
        <f>IF(StudentData[[#This Row],[absences]]&gt;15,80,IF(StudentData[[#This Row],[absences]]&gt;10,50,0))</f>
        <v>0</v>
      </c>
      <c r="AL321">
        <f>IF(StudentData[[#This Row],[studytime]]=1,70,IF(StudentData[[#This Row],[studytime]]=2,40,0))</f>
        <v>70</v>
      </c>
      <c r="AM321">
        <f>IF(StudentData[[#This Row],[GradeDrop]]=1,50,0)</f>
        <v>0</v>
      </c>
      <c r="AN321">
        <f>0.4*StudentData[[#This Row],[FailureScore]]+0.3*StudentData[[#This Row],[AbsenceScore]]+0.2*StudentData[[#This Row],[StudyRisk]]+0.1*StudentData[[#This Row],[TrendRisk]]</f>
        <v>14</v>
      </c>
      <c r="AO321" t="str">
        <f>IF(StudentData[[#This Row],[RiskIndex]]&lt;=30,"Low",IF(StudentData[[#This Row],[RiskIndex]]&lt;=60,"Medium","High"))</f>
        <v>Low</v>
      </c>
      <c r="AP321">
        <f>StudentData[[#This Row],[G3]]+('Intervention Simulator'!$C$2*1.5)</f>
        <v>12</v>
      </c>
      <c r="AQ321" t="str">
        <f>IF(StudentData[[#This Row],[ProjectedGrade]]&gt;=10,"Pass","Fail")</f>
        <v>Pass</v>
      </c>
    </row>
    <row r="322" spans="1:43" x14ac:dyDescent="0.3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  <c r="AH322" t="str">
        <f>IF(StudentData[[#This Row],[G3]]&gt;=10,"Pass","Fail")</f>
        <v>Pass</v>
      </c>
      <c r="AI322">
        <f>IF(StudentData[[#This Row],[G3]]&lt;StudentData[[#This Row],[G2]],1,0)</f>
        <v>0</v>
      </c>
      <c r="AJ322">
        <f>IF(StudentData[[#This Row],[failures]]&gt;=2,100,IF(StudentData[[#This Row],[failures]]=1,60,0))</f>
        <v>60</v>
      </c>
      <c r="AK322">
        <f>IF(StudentData[[#This Row],[absences]]&gt;15,80,IF(StudentData[[#This Row],[absences]]&gt;10,50,0))</f>
        <v>0</v>
      </c>
      <c r="AL322">
        <f>IF(StudentData[[#This Row],[studytime]]=1,70,IF(StudentData[[#This Row],[studytime]]=2,40,0))</f>
        <v>40</v>
      </c>
      <c r="AM322">
        <f>IF(StudentData[[#This Row],[GradeDrop]]=1,50,0)</f>
        <v>0</v>
      </c>
      <c r="AN322">
        <f>0.4*StudentData[[#This Row],[FailureScore]]+0.3*StudentData[[#This Row],[AbsenceScore]]+0.2*StudentData[[#This Row],[StudyRisk]]+0.1*StudentData[[#This Row],[TrendRisk]]</f>
        <v>32</v>
      </c>
      <c r="AO322" t="str">
        <f>IF(StudentData[[#This Row],[RiskIndex]]&lt;=30,"Low",IF(StudentData[[#This Row],[RiskIndex]]&lt;=60,"Medium","High"))</f>
        <v>Medium</v>
      </c>
      <c r="AP322">
        <f>StudentData[[#This Row],[G3]]+('Intervention Simulator'!$C$2*1.5)</f>
        <v>13</v>
      </c>
      <c r="AQ322" t="str">
        <f>IF(StudentData[[#This Row],[ProjectedGrade]]&gt;=10,"Pass","Fail")</f>
        <v>Pass</v>
      </c>
    </row>
    <row r="323" spans="1:4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  <c r="AH323" t="str">
        <f>IF(StudentData[[#This Row],[G3]]&gt;=10,"Pass","Fail")</f>
        <v>Pass</v>
      </c>
      <c r="AI323">
        <f>IF(StudentData[[#This Row],[G3]]&lt;StudentData[[#This Row],[G2]],1,0)</f>
        <v>0</v>
      </c>
      <c r="AJ323">
        <f>IF(StudentData[[#This Row],[failures]]&gt;=2,100,IF(StudentData[[#This Row],[failures]]=1,60,0))</f>
        <v>0</v>
      </c>
      <c r="AK323">
        <f>IF(StudentData[[#This Row],[absences]]&gt;15,80,IF(StudentData[[#This Row],[absences]]&gt;10,50,0))</f>
        <v>0</v>
      </c>
      <c r="AL323">
        <f>IF(StudentData[[#This Row],[studytime]]=1,70,IF(StudentData[[#This Row],[studytime]]=2,40,0))</f>
        <v>0</v>
      </c>
      <c r="AM323">
        <f>IF(StudentData[[#This Row],[GradeDrop]]=1,50,0)</f>
        <v>0</v>
      </c>
      <c r="AN323">
        <f>0.4*StudentData[[#This Row],[FailureScore]]+0.3*StudentData[[#This Row],[AbsenceScore]]+0.2*StudentData[[#This Row],[StudyRisk]]+0.1*StudentData[[#This Row],[TrendRisk]]</f>
        <v>0</v>
      </c>
      <c r="AO323" t="str">
        <f>IF(StudentData[[#This Row],[RiskIndex]]&lt;=30,"Low",IF(StudentData[[#This Row],[RiskIndex]]&lt;=60,"Medium","High"))</f>
        <v>Low</v>
      </c>
      <c r="AP323">
        <f>StudentData[[#This Row],[G3]]+('Intervention Simulator'!$C$2*1.5)</f>
        <v>15</v>
      </c>
      <c r="AQ323" t="str">
        <f>IF(StudentData[[#This Row],[ProjectedGrade]]&gt;=10,"Pass","Fail")</f>
        <v>Pass</v>
      </c>
    </row>
    <row r="324" spans="1:43" x14ac:dyDescent="0.3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  <c r="AH324" t="str">
        <f>IF(StudentData[[#This Row],[G3]]&gt;=10,"Pass","Fail")</f>
        <v>Pass</v>
      </c>
      <c r="AI324">
        <f>IF(StudentData[[#This Row],[G3]]&lt;StudentData[[#This Row],[G2]],1,0)</f>
        <v>0</v>
      </c>
      <c r="AJ324">
        <f>IF(StudentData[[#This Row],[failures]]&gt;=2,100,IF(StudentData[[#This Row],[failures]]=1,60,0))</f>
        <v>60</v>
      </c>
      <c r="AK324">
        <f>IF(StudentData[[#This Row],[absences]]&gt;15,80,IF(StudentData[[#This Row],[absences]]&gt;10,50,0))</f>
        <v>0</v>
      </c>
      <c r="AL324">
        <f>IF(StudentData[[#This Row],[studytime]]=1,70,IF(StudentData[[#This Row],[studytime]]=2,40,0))</f>
        <v>40</v>
      </c>
      <c r="AM324">
        <f>IF(StudentData[[#This Row],[GradeDrop]]=1,50,0)</f>
        <v>0</v>
      </c>
      <c r="AN324">
        <f>0.4*StudentData[[#This Row],[FailureScore]]+0.3*StudentData[[#This Row],[AbsenceScore]]+0.2*StudentData[[#This Row],[StudyRisk]]+0.1*StudentData[[#This Row],[TrendRisk]]</f>
        <v>32</v>
      </c>
      <c r="AO324" t="str">
        <f>IF(StudentData[[#This Row],[RiskIndex]]&lt;=30,"Low",IF(StudentData[[#This Row],[RiskIndex]]&lt;=60,"Medium","High"))</f>
        <v>Medium</v>
      </c>
      <c r="AP324">
        <f>StudentData[[#This Row],[G3]]+('Intervention Simulator'!$C$2*1.5)</f>
        <v>10</v>
      </c>
      <c r="AQ324" t="str">
        <f>IF(StudentData[[#This Row],[ProjectedGrade]]&gt;=10,"Pass","Fail")</f>
        <v>Pass</v>
      </c>
    </row>
    <row r="325" spans="1:43" x14ac:dyDescent="0.3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  <c r="AH325" t="str">
        <f>IF(StudentData[[#This Row],[G3]]&gt;=10,"Pass","Fail")</f>
        <v>Pass</v>
      </c>
      <c r="AI325">
        <f>IF(StudentData[[#This Row],[G3]]&lt;StudentData[[#This Row],[G2]],1,0)</f>
        <v>0</v>
      </c>
      <c r="AJ325">
        <f>IF(StudentData[[#This Row],[failures]]&gt;=2,100,IF(StudentData[[#This Row],[failures]]=1,60,0))</f>
        <v>0</v>
      </c>
      <c r="AK325">
        <f>IF(StudentData[[#This Row],[absences]]&gt;15,80,IF(StudentData[[#This Row],[absences]]&gt;10,50,0))</f>
        <v>0</v>
      </c>
      <c r="AL325">
        <f>IF(StudentData[[#This Row],[studytime]]=1,70,IF(StudentData[[#This Row],[studytime]]=2,40,0))</f>
        <v>70</v>
      </c>
      <c r="AM325">
        <f>IF(StudentData[[#This Row],[GradeDrop]]=1,50,0)</f>
        <v>0</v>
      </c>
      <c r="AN325">
        <f>0.4*StudentData[[#This Row],[FailureScore]]+0.3*StudentData[[#This Row],[AbsenceScore]]+0.2*StudentData[[#This Row],[StudyRisk]]+0.1*StudentData[[#This Row],[TrendRisk]]</f>
        <v>14</v>
      </c>
      <c r="AO325" t="str">
        <f>IF(StudentData[[#This Row],[RiskIndex]]&lt;=30,"Low",IF(StudentData[[#This Row],[RiskIndex]]&lt;=60,"Medium","High"))</f>
        <v>Low</v>
      </c>
      <c r="AP325">
        <f>StudentData[[#This Row],[G3]]+('Intervention Simulator'!$C$2*1.5)</f>
        <v>10</v>
      </c>
      <c r="AQ325" t="str">
        <f>IF(StudentData[[#This Row],[ProjectedGrade]]&gt;=10,"Pass","Fail")</f>
        <v>Pass</v>
      </c>
    </row>
    <row r="326" spans="1:43" x14ac:dyDescent="0.3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  <c r="AH326" t="str">
        <f>IF(StudentData[[#This Row],[G3]]&gt;=10,"Pass","Fail")</f>
        <v>Pass</v>
      </c>
      <c r="AI326">
        <f>IF(StudentData[[#This Row],[G3]]&lt;StudentData[[#This Row],[G2]],1,0)</f>
        <v>0</v>
      </c>
      <c r="AJ326">
        <f>IF(StudentData[[#This Row],[failures]]&gt;=2,100,IF(StudentData[[#This Row],[failures]]=1,60,0))</f>
        <v>0</v>
      </c>
      <c r="AK326">
        <f>IF(StudentData[[#This Row],[absences]]&gt;15,80,IF(StudentData[[#This Row],[absences]]&gt;10,50,0))</f>
        <v>0</v>
      </c>
      <c r="AL326">
        <f>IF(StudentData[[#This Row],[studytime]]=1,70,IF(StudentData[[#This Row],[studytime]]=2,40,0))</f>
        <v>70</v>
      </c>
      <c r="AM326">
        <f>IF(StudentData[[#This Row],[GradeDrop]]=1,50,0)</f>
        <v>0</v>
      </c>
      <c r="AN326">
        <f>0.4*StudentData[[#This Row],[FailureScore]]+0.3*StudentData[[#This Row],[AbsenceScore]]+0.2*StudentData[[#This Row],[StudyRisk]]+0.1*StudentData[[#This Row],[TrendRisk]]</f>
        <v>14</v>
      </c>
      <c r="AO326" t="str">
        <f>IF(StudentData[[#This Row],[RiskIndex]]&lt;=30,"Low",IF(StudentData[[#This Row],[RiskIndex]]&lt;=60,"Medium","High"))</f>
        <v>Low</v>
      </c>
      <c r="AP326">
        <f>StudentData[[#This Row],[G3]]+('Intervention Simulator'!$C$2*1.5)</f>
        <v>11</v>
      </c>
      <c r="AQ326" t="str">
        <f>IF(StudentData[[#This Row],[ProjectedGrade]]&gt;=10,"Pass","Fail")</f>
        <v>Pass</v>
      </c>
    </row>
    <row r="327" spans="1:43" x14ac:dyDescent="0.3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  <c r="AH327" t="str">
        <f>IF(StudentData[[#This Row],[G3]]&gt;=10,"Pass","Fail")</f>
        <v>Pass</v>
      </c>
      <c r="AI327">
        <f>IF(StudentData[[#This Row],[G3]]&lt;StudentData[[#This Row],[G2]],1,0)</f>
        <v>1</v>
      </c>
      <c r="AJ327">
        <f>IF(StudentData[[#This Row],[failures]]&gt;=2,100,IF(StudentData[[#This Row],[failures]]=1,60,0))</f>
        <v>0</v>
      </c>
      <c r="AK327">
        <f>IF(StudentData[[#This Row],[absences]]&gt;15,80,IF(StudentData[[#This Row],[absences]]&gt;10,50,0))</f>
        <v>80</v>
      </c>
      <c r="AL327">
        <f>IF(StudentData[[#This Row],[studytime]]=1,70,IF(StudentData[[#This Row],[studytime]]=2,40,0))</f>
        <v>70</v>
      </c>
      <c r="AM327">
        <f>IF(StudentData[[#This Row],[GradeDrop]]=1,50,0)</f>
        <v>50</v>
      </c>
      <c r="AN327">
        <f>0.4*StudentData[[#This Row],[FailureScore]]+0.3*StudentData[[#This Row],[AbsenceScore]]+0.2*StudentData[[#This Row],[StudyRisk]]+0.1*StudentData[[#This Row],[TrendRisk]]</f>
        <v>43</v>
      </c>
      <c r="AO327" t="str">
        <f>IF(StudentData[[#This Row],[RiskIndex]]&lt;=30,"Low",IF(StudentData[[#This Row],[RiskIndex]]&lt;=60,"Medium","High"))</f>
        <v>Medium</v>
      </c>
      <c r="AP327">
        <f>StudentData[[#This Row],[G3]]+('Intervention Simulator'!$C$2*1.5)</f>
        <v>10</v>
      </c>
      <c r="AQ327" t="str">
        <f>IF(StudentData[[#This Row],[ProjectedGrade]]&gt;=10,"Pass","Fail")</f>
        <v>Pass</v>
      </c>
    </row>
    <row r="328" spans="1:43" x14ac:dyDescent="0.3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  <c r="AH328" t="str">
        <f>IF(StudentData[[#This Row],[G3]]&gt;=10,"Pass","Fail")</f>
        <v>Pass</v>
      </c>
      <c r="AI328">
        <f>IF(StudentData[[#This Row],[G3]]&lt;StudentData[[#This Row],[G2]],1,0)</f>
        <v>0</v>
      </c>
      <c r="AJ328">
        <f>IF(StudentData[[#This Row],[failures]]&gt;=2,100,IF(StudentData[[#This Row],[failures]]=1,60,0))</f>
        <v>0</v>
      </c>
      <c r="AK328">
        <f>IF(StudentData[[#This Row],[absences]]&gt;15,80,IF(StudentData[[#This Row],[absences]]&gt;10,50,0))</f>
        <v>80</v>
      </c>
      <c r="AL328">
        <f>IF(StudentData[[#This Row],[studytime]]=1,70,IF(StudentData[[#This Row],[studytime]]=2,40,0))</f>
        <v>70</v>
      </c>
      <c r="AM328">
        <f>IF(StudentData[[#This Row],[GradeDrop]]=1,50,0)</f>
        <v>0</v>
      </c>
      <c r="AN328">
        <f>0.4*StudentData[[#This Row],[FailureScore]]+0.3*StudentData[[#This Row],[AbsenceScore]]+0.2*StudentData[[#This Row],[StudyRisk]]+0.1*StudentData[[#This Row],[TrendRisk]]</f>
        <v>38</v>
      </c>
      <c r="AO328" t="str">
        <f>IF(StudentData[[#This Row],[RiskIndex]]&lt;=30,"Low",IF(StudentData[[#This Row],[RiskIndex]]&lt;=60,"Medium","High"))</f>
        <v>Medium</v>
      </c>
      <c r="AP328">
        <f>StudentData[[#This Row],[G3]]+('Intervention Simulator'!$C$2*1.5)</f>
        <v>13</v>
      </c>
      <c r="AQ328" t="str">
        <f>IF(StudentData[[#This Row],[ProjectedGrade]]&gt;=10,"Pass","Fail")</f>
        <v>Pass</v>
      </c>
    </row>
    <row r="329" spans="1:43" x14ac:dyDescent="0.3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  <c r="AH329" t="str">
        <f>IF(StudentData[[#This Row],[G3]]&gt;=10,"Pass","Fail")</f>
        <v>Pass</v>
      </c>
      <c r="AI329">
        <f>IF(StudentData[[#This Row],[G3]]&lt;StudentData[[#This Row],[G2]],1,0)</f>
        <v>0</v>
      </c>
      <c r="AJ329">
        <f>IF(StudentData[[#This Row],[failures]]&gt;=2,100,IF(StudentData[[#This Row],[failures]]=1,60,0))</f>
        <v>0</v>
      </c>
      <c r="AK329">
        <f>IF(StudentData[[#This Row],[absences]]&gt;15,80,IF(StudentData[[#This Row],[absences]]&gt;10,50,0))</f>
        <v>0</v>
      </c>
      <c r="AL329">
        <f>IF(StudentData[[#This Row],[studytime]]=1,70,IF(StudentData[[#This Row],[studytime]]=2,40,0))</f>
        <v>0</v>
      </c>
      <c r="AM329">
        <f>IF(StudentData[[#This Row],[GradeDrop]]=1,50,0)</f>
        <v>0</v>
      </c>
      <c r="AN329">
        <f>0.4*StudentData[[#This Row],[FailureScore]]+0.3*StudentData[[#This Row],[AbsenceScore]]+0.2*StudentData[[#This Row],[StudyRisk]]+0.1*StudentData[[#This Row],[TrendRisk]]</f>
        <v>0</v>
      </c>
      <c r="AO329" t="str">
        <f>IF(StudentData[[#This Row],[RiskIndex]]&lt;=30,"Low",IF(StudentData[[#This Row],[RiskIndex]]&lt;=60,"Medium","High"))</f>
        <v>Low</v>
      </c>
      <c r="AP329">
        <f>StudentData[[#This Row],[G3]]+('Intervention Simulator'!$C$2*1.5)</f>
        <v>18</v>
      </c>
      <c r="AQ329" t="str">
        <f>IF(StudentData[[#This Row],[ProjectedGrade]]&gt;=10,"Pass","Fail")</f>
        <v>Pass</v>
      </c>
    </row>
    <row r="330" spans="1:43" x14ac:dyDescent="0.3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  <c r="AH330" t="str">
        <f>IF(StudentData[[#This Row],[G3]]&gt;=10,"Pass","Fail")</f>
        <v>Pass</v>
      </c>
      <c r="AI330">
        <f>IF(StudentData[[#This Row],[G3]]&lt;StudentData[[#This Row],[G2]],1,0)</f>
        <v>0</v>
      </c>
      <c r="AJ330">
        <f>IF(StudentData[[#This Row],[failures]]&gt;=2,100,IF(StudentData[[#This Row],[failures]]=1,60,0))</f>
        <v>0</v>
      </c>
      <c r="AK330">
        <f>IF(StudentData[[#This Row],[absences]]&gt;15,80,IF(StudentData[[#This Row],[absences]]&gt;10,50,0))</f>
        <v>0</v>
      </c>
      <c r="AL330">
        <f>IF(StudentData[[#This Row],[studytime]]=1,70,IF(StudentData[[#This Row],[studytime]]=2,40,0))</f>
        <v>40</v>
      </c>
      <c r="AM330">
        <f>IF(StudentData[[#This Row],[GradeDrop]]=1,50,0)</f>
        <v>0</v>
      </c>
      <c r="AN330">
        <f>0.4*StudentData[[#This Row],[FailureScore]]+0.3*StudentData[[#This Row],[AbsenceScore]]+0.2*StudentData[[#This Row],[StudyRisk]]+0.1*StudentData[[#This Row],[TrendRisk]]</f>
        <v>8</v>
      </c>
      <c r="AO330" t="str">
        <f>IF(StudentData[[#This Row],[RiskIndex]]&lt;=30,"Low",IF(StudentData[[#This Row],[RiskIndex]]&lt;=60,"Medium","High"))</f>
        <v>Low</v>
      </c>
      <c r="AP330">
        <f>StudentData[[#This Row],[G3]]+('Intervention Simulator'!$C$2*1.5)</f>
        <v>13</v>
      </c>
      <c r="AQ330" t="str">
        <f>IF(StudentData[[#This Row],[ProjectedGrade]]&gt;=10,"Pass","Fail")</f>
        <v>Pass</v>
      </c>
    </row>
    <row r="331" spans="1:4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  <c r="AH331" t="str">
        <f>IF(StudentData[[#This Row],[G3]]&gt;=10,"Pass","Fail")</f>
        <v>Pass</v>
      </c>
      <c r="AI331">
        <f>IF(StudentData[[#This Row],[G3]]&lt;StudentData[[#This Row],[G2]],1,0)</f>
        <v>0</v>
      </c>
      <c r="AJ331">
        <f>IF(StudentData[[#This Row],[failures]]&gt;=2,100,IF(StudentData[[#This Row],[failures]]=1,60,0))</f>
        <v>0</v>
      </c>
      <c r="AK331">
        <f>IF(StudentData[[#This Row],[absences]]&gt;15,80,IF(StudentData[[#This Row],[absences]]&gt;10,50,0))</f>
        <v>50</v>
      </c>
      <c r="AL331">
        <f>IF(StudentData[[#This Row],[studytime]]=1,70,IF(StudentData[[#This Row],[studytime]]=2,40,0))</f>
        <v>40</v>
      </c>
      <c r="AM331">
        <f>IF(StudentData[[#This Row],[GradeDrop]]=1,50,0)</f>
        <v>0</v>
      </c>
      <c r="AN331">
        <f>0.4*StudentData[[#This Row],[FailureScore]]+0.3*StudentData[[#This Row],[AbsenceScore]]+0.2*StudentData[[#This Row],[StudyRisk]]+0.1*StudentData[[#This Row],[TrendRisk]]</f>
        <v>23</v>
      </c>
      <c r="AO331" t="str">
        <f>IF(StudentData[[#This Row],[RiskIndex]]&lt;=30,"Low",IF(StudentData[[#This Row],[RiskIndex]]&lt;=60,"Medium","High"))</f>
        <v>Low</v>
      </c>
      <c r="AP331">
        <f>StudentData[[#This Row],[G3]]+('Intervention Simulator'!$C$2*1.5)</f>
        <v>14</v>
      </c>
      <c r="AQ331" t="str">
        <f>IF(StudentData[[#This Row],[ProjectedGrade]]&gt;=10,"Pass","Fail")</f>
        <v>Pass</v>
      </c>
    </row>
    <row r="332" spans="1:43" x14ac:dyDescent="0.3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  <c r="AH332" t="str">
        <f>IF(StudentData[[#This Row],[G3]]&gt;=10,"Pass","Fail")</f>
        <v>Pass</v>
      </c>
      <c r="AI332">
        <f>IF(StudentData[[#This Row],[G3]]&lt;StudentData[[#This Row],[G2]],1,0)</f>
        <v>0</v>
      </c>
      <c r="AJ332">
        <f>IF(StudentData[[#This Row],[failures]]&gt;=2,100,IF(StudentData[[#This Row],[failures]]=1,60,0))</f>
        <v>0</v>
      </c>
      <c r="AK332">
        <f>IF(StudentData[[#This Row],[absences]]&gt;15,80,IF(StudentData[[#This Row],[absences]]&gt;10,50,0))</f>
        <v>0</v>
      </c>
      <c r="AL332">
        <f>IF(StudentData[[#This Row],[studytime]]=1,70,IF(StudentData[[#This Row],[studytime]]=2,40,0))</f>
        <v>40</v>
      </c>
      <c r="AM332">
        <f>IF(StudentData[[#This Row],[GradeDrop]]=1,50,0)</f>
        <v>0</v>
      </c>
      <c r="AN332">
        <f>0.4*StudentData[[#This Row],[FailureScore]]+0.3*StudentData[[#This Row],[AbsenceScore]]+0.2*StudentData[[#This Row],[StudyRisk]]+0.1*StudentData[[#This Row],[TrendRisk]]</f>
        <v>8</v>
      </c>
      <c r="AO332" t="str">
        <f>IF(StudentData[[#This Row],[RiskIndex]]&lt;=30,"Low",IF(StudentData[[#This Row],[RiskIndex]]&lt;=60,"Medium","High"))</f>
        <v>Low</v>
      </c>
      <c r="AP332">
        <f>StudentData[[#This Row],[G3]]+('Intervention Simulator'!$C$2*1.5)</f>
        <v>14</v>
      </c>
      <c r="AQ332" t="str">
        <f>IF(StudentData[[#This Row],[ProjectedGrade]]&gt;=10,"Pass","Fail")</f>
        <v>Pass</v>
      </c>
    </row>
    <row r="333" spans="1:43" x14ac:dyDescent="0.3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  <c r="AH333" t="str">
        <f>IF(StudentData[[#This Row],[G3]]&gt;=10,"Pass","Fail")</f>
        <v>Pass</v>
      </c>
      <c r="AI333">
        <f>IF(StudentData[[#This Row],[G3]]&lt;StudentData[[#This Row],[G2]],1,0)</f>
        <v>0</v>
      </c>
      <c r="AJ333">
        <f>IF(StudentData[[#This Row],[failures]]&gt;=2,100,IF(StudentData[[#This Row],[failures]]=1,60,0))</f>
        <v>0</v>
      </c>
      <c r="AK333">
        <f>IF(StudentData[[#This Row],[absences]]&gt;15,80,IF(StudentData[[#This Row],[absences]]&gt;10,50,0))</f>
        <v>0</v>
      </c>
      <c r="AL333">
        <f>IF(StudentData[[#This Row],[studytime]]=1,70,IF(StudentData[[#This Row],[studytime]]=2,40,0))</f>
        <v>40</v>
      </c>
      <c r="AM333">
        <f>IF(StudentData[[#This Row],[GradeDrop]]=1,50,0)</f>
        <v>0</v>
      </c>
      <c r="AN333">
        <f>0.4*StudentData[[#This Row],[FailureScore]]+0.3*StudentData[[#This Row],[AbsenceScore]]+0.2*StudentData[[#This Row],[StudyRisk]]+0.1*StudentData[[#This Row],[TrendRisk]]</f>
        <v>8</v>
      </c>
      <c r="AO333" t="str">
        <f>IF(StudentData[[#This Row],[RiskIndex]]&lt;=30,"Low",IF(StudentData[[#This Row],[RiskIndex]]&lt;=60,"Medium","High"))</f>
        <v>Low</v>
      </c>
      <c r="AP333">
        <f>StudentData[[#This Row],[G3]]+('Intervention Simulator'!$C$2*1.5)</f>
        <v>12</v>
      </c>
      <c r="AQ333" t="str">
        <f>IF(StudentData[[#This Row],[ProjectedGrade]]&gt;=10,"Pass","Fail")</f>
        <v>Pass</v>
      </c>
    </row>
    <row r="334" spans="1:4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  <c r="AH334" t="str">
        <f>IF(StudentData[[#This Row],[G3]]&gt;=10,"Pass","Fail")</f>
        <v>Pass</v>
      </c>
      <c r="AI334">
        <f>IF(StudentData[[#This Row],[G3]]&lt;StudentData[[#This Row],[G2]],1,0)</f>
        <v>0</v>
      </c>
      <c r="AJ334">
        <f>IF(StudentData[[#This Row],[failures]]&gt;=2,100,IF(StudentData[[#This Row],[failures]]=1,60,0))</f>
        <v>0</v>
      </c>
      <c r="AK334">
        <f>IF(StudentData[[#This Row],[absences]]&gt;15,80,IF(StudentData[[#This Row],[absences]]&gt;10,50,0))</f>
        <v>0</v>
      </c>
      <c r="AL334">
        <f>IF(StudentData[[#This Row],[studytime]]=1,70,IF(StudentData[[#This Row],[studytime]]=2,40,0))</f>
        <v>0</v>
      </c>
      <c r="AM334">
        <f>IF(StudentData[[#This Row],[GradeDrop]]=1,50,0)</f>
        <v>0</v>
      </c>
      <c r="AN334">
        <f>0.4*StudentData[[#This Row],[FailureScore]]+0.3*StudentData[[#This Row],[AbsenceScore]]+0.2*StudentData[[#This Row],[StudyRisk]]+0.1*StudentData[[#This Row],[TrendRisk]]</f>
        <v>0</v>
      </c>
      <c r="AO334" t="str">
        <f>IF(StudentData[[#This Row],[RiskIndex]]&lt;=30,"Low",IF(StudentData[[#This Row],[RiskIndex]]&lt;=60,"Medium","High"))</f>
        <v>Low</v>
      </c>
      <c r="AP334">
        <f>StudentData[[#This Row],[G3]]+('Intervention Simulator'!$C$2*1.5)</f>
        <v>18</v>
      </c>
      <c r="AQ334" t="str">
        <f>IF(StudentData[[#This Row],[ProjectedGrade]]&gt;=10,"Pass","Fail")</f>
        <v>Pass</v>
      </c>
    </row>
    <row r="335" spans="1:43" x14ac:dyDescent="0.3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  <c r="AH335" t="str">
        <f>IF(StudentData[[#This Row],[G3]]&gt;=10,"Pass","Fail")</f>
        <v>Pass</v>
      </c>
      <c r="AI335">
        <f>IF(StudentData[[#This Row],[G3]]&lt;StudentData[[#This Row],[G2]],1,0)</f>
        <v>0</v>
      </c>
      <c r="AJ335">
        <f>IF(StudentData[[#This Row],[failures]]&gt;=2,100,IF(StudentData[[#This Row],[failures]]=1,60,0))</f>
        <v>0</v>
      </c>
      <c r="AK335">
        <f>IF(StudentData[[#This Row],[absences]]&gt;15,80,IF(StudentData[[#This Row],[absences]]&gt;10,50,0))</f>
        <v>0</v>
      </c>
      <c r="AL335">
        <f>IF(StudentData[[#This Row],[studytime]]=1,70,IF(StudentData[[#This Row],[studytime]]=2,40,0))</f>
        <v>0</v>
      </c>
      <c r="AM335">
        <f>IF(StudentData[[#This Row],[GradeDrop]]=1,50,0)</f>
        <v>0</v>
      </c>
      <c r="AN335">
        <f>0.4*StudentData[[#This Row],[FailureScore]]+0.3*StudentData[[#This Row],[AbsenceScore]]+0.2*StudentData[[#This Row],[StudyRisk]]+0.1*StudentData[[#This Row],[TrendRisk]]</f>
        <v>0</v>
      </c>
      <c r="AO335" t="str">
        <f>IF(StudentData[[#This Row],[RiskIndex]]&lt;=30,"Low",IF(StudentData[[#This Row],[RiskIndex]]&lt;=60,"Medium","High"))</f>
        <v>Low</v>
      </c>
      <c r="AP335">
        <f>StudentData[[#This Row],[G3]]+('Intervention Simulator'!$C$2*1.5)</f>
        <v>14</v>
      </c>
      <c r="AQ335" t="str">
        <f>IF(StudentData[[#This Row],[ProjectedGrade]]&gt;=10,"Pass","Fail")</f>
        <v>Pass</v>
      </c>
    </row>
    <row r="336" spans="1:43" x14ac:dyDescent="0.3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  <c r="AH336" t="str">
        <f>IF(StudentData[[#This Row],[G3]]&gt;=10,"Pass","Fail")</f>
        <v>Pass</v>
      </c>
      <c r="AI336">
        <f>IF(StudentData[[#This Row],[G3]]&lt;StudentData[[#This Row],[G2]],1,0)</f>
        <v>0</v>
      </c>
      <c r="AJ336">
        <f>IF(StudentData[[#This Row],[failures]]&gt;=2,100,IF(StudentData[[#This Row],[failures]]=1,60,0))</f>
        <v>0</v>
      </c>
      <c r="AK336">
        <f>IF(StudentData[[#This Row],[absences]]&gt;15,80,IF(StudentData[[#This Row],[absences]]&gt;10,50,0))</f>
        <v>0</v>
      </c>
      <c r="AL336">
        <f>IF(StudentData[[#This Row],[studytime]]=1,70,IF(StudentData[[#This Row],[studytime]]=2,40,0))</f>
        <v>0</v>
      </c>
      <c r="AM336">
        <f>IF(StudentData[[#This Row],[GradeDrop]]=1,50,0)</f>
        <v>0</v>
      </c>
      <c r="AN336">
        <f>0.4*StudentData[[#This Row],[FailureScore]]+0.3*StudentData[[#This Row],[AbsenceScore]]+0.2*StudentData[[#This Row],[StudyRisk]]+0.1*StudentData[[#This Row],[TrendRisk]]</f>
        <v>0</v>
      </c>
      <c r="AO336" t="str">
        <f>IF(StudentData[[#This Row],[RiskIndex]]&lt;=30,"Low",IF(StudentData[[#This Row],[RiskIndex]]&lt;=60,"Medium","High"))</f>
        <v>Low</v>
      </c>
      <c r="AP336">
        <f>StudentData[[#This Row],[G3]]+('Intervention Simulator'!$C$2*1.5)</f>
        <v>15</v>
      </c>
      <c r="AQ336" t="str">
        <f>IF(StudentData[[#This Row],[ProjectedGrade]]&gt;=10,"Pass","Fail")</f>
        <v>Pass</v>
      </c>
    </row>
    <row r="337" spans="1:43" x14ac:dyDescent="0.3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  <c r="AH337" t="str">
        <f>IF(StudentData[[#This Row],[G3]]&gt;=10,"Pass","Fail")</f>
        <v>Pass</v>
      </c>
      <c r="AI337">
        <f>IF(StudentData[[#This Row],[G3]]&lt;StudentData[[#This Row],[G2]],1,0)</f>
        <v>0</v>
      </c>
      <c r="AJ337">
        <f>IF(StudentData[[#This Row],[failures]]&gt;=2,100,IF(StudentData[[#This Row],[failures]]=1,60,0))</f>
        <v>0</v>
      </c>
      <c r="AK337">
        <f>IF(StudentData[[#This Row],[absences]]&gt;15,80,IF(StudentData[[#This Row],[absences]]&gt;10,50,0))</f>
        <v>0</v>
      </c>
      <c r="AL337">
        <f>IF(StudentData[[#This Row],[studytime]]=1,70,IF(StudentData[[#This Row],[studytime]]=2,40,0))</f>
        <v>40</v>
      </c>
      <c r="AM337">
        <f>IF(StudentData[[#This Row],[GradeDrop]]=1,50,0)</f>
        <v>0</v>
      </c>
      <c r="AN337">
        <f>0.4*StudentData[[#This Row],[FailureScore]]+0.3*StudentData[[#This Row],[AbsenceScore]]+0.2*StudentData[[#This Row],[StudyRisk]]+0.1*StudentData[[#This Row],[TrendRisk]]</f>
        <v>8</v>
      </c>
      <c r="AO337" t="str">
        <f>IF(StudentData[[#This Row],[RiskIndex]]&lt;=30,"Low",IF(StudentData[[#This Row],[RiskIndex]]&lt;=60,"Medium","High"))</f>
        <v>Low</v>
      </c>
      <c r="AP337">
        <f>StudentData[[#This Row],[G3]]+('Intervention Simulator'!$C$2*1.5)</f>
        <v>17</v>
      </c>
      <c r="AQ337" t="str">
        <f>IF(StudentData[[#This Row],[ProjectedGrade]]&gt;=10,"Pass","Fail")</f>
        <v>Pass</v>
      </c>
    </row>
    <row r="338" spans="1:43" x14ac:dyDescent="0.3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  <c r="AH338" t="str">
        <f>IF(StudentData[[#This Row],[G3]]&gt;=10,"Pass","Fail")</f>
        <v>Pass</v>
      </c>
      <c r="AI338">
        <f>IF(StudentData[[#This Row],[G3]]&lt;StudentData[[#This Row],[G2]],1,0)</f>
        <v>0</v>
      </c>
      <c r="AJ338">
        <f>IF(StudentData[[#This Row],[failures]]&gt;=2,100,IF(StudentData[[#This Row],[failures]]=1,60,0))</f>
        <v>0</v>
      </c>
      <c r="AK338">
        <f>IF(StudentData[[#This Row],[absences]]&gt;15,80,IF(StudentData[[#This Row],[absences]]&gt;10,50,0))</f>
        <v>0</v>
      </c>
      <c r="AL338">
        <f>IF(StudentData[[#This Row],[studytime]]=1,70,IF(StudentData[[#This Row],[studytime]]=2,40,0))</f>
        <v>40</v>
      </c>
      <c r="AM338">
        <f>IF(StudentData[[#This Row],[GradeDrop]]=1,50,0)</f>
        <v>0</v>
      </c>
      <c r="AN338">
        <f>0.4*StudentData[[#This Row],[FailureScore]]+0.3*StudentData[[#This Row],[AbsenceScore]]+0.2*StudentData[[#This Row],[StudyRisk]]+0.1*StudentData[[#This Row],[TrendRisk]]</f>
        <v>8</v>
      </c>
      <c r="AO338" t="str">
        <f>IF(StudentData[[#This Row],[RiskIndex]]&lt;=30,"Low",IF(StudentData[[#This Row],[RiskIndex]]&lt;=60,"Medium","High"))</f>
        <v>Low</v>
      </c>
      <c r="AP338">
        <f>StudentData[[#This Row],[G3]]+('Intervention Simulator'!$C$2*1.5)</f>
        <v>16</v>
      </c>
      <c r="AQ338" t="str">
        <f>IF(StudentData[[#This Row],[ProjectedGrade]]&gt;=10,"Pass","Fail")</f>
        <v>Pass</v>
      </c>
    </row>
    <row r="339" spans="1:4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  <c r="AH339" t="str">
        <f>IF(StudentData[[#This Row],[G3]]&gt;=10,"Pass","Fail")</f>
        <v>Pass</v>
      </c>
      <c r="AI339">
        <f>IF(StudentData[[#This Row],[G3]]&lt;StudentData[[#This Row],[G2]],1,0)</f>
        <v>0</v>
      </c>
      <c r="AJ339">
        <f>IF(StudentData[[#This Row],[failures]]&gt;=2,100,IF(StudentData[[#This Row],[failures]]=1,60,0))</f>
        <v>0</v>
      </c>
      <c r="AK339">
        <f>IF(StudentData[[#This Row],[absences]]&gt;15,80,IF(StudentData[[#This Row],[absences]]&gt;10,50,0))</f>
        <v>0</v>
      </c>
      <c r="AL339">
        <f>IF(StudentData[[#This Row],[studytime]]=1,70,IF(StudentData[[#This Row],[studytime]]=2,40,0))</f>
        <v>0</v>
      </c>
      <c r="AM339">
        <f>IF(StudentData[[#This Row],[GradeDrop]]=1,50,0)</f>
        <v>0</v>
      </c>
      <c r="AN339">
        <f>0.4*StudentData[[#This Row],[FailureScore]]+0.3*StudentData[[#This Row],[AbsenceScore]]+0.2*StudentData[[#This Row],[StudyRisk]]+0.1*StudentData[[#This Row],[TrendRisk]]</f>
        <v>0</v>
      </c>
      <c r="AO339" t="str">
        <f>IF(StudentData[[#This Row],[RiskIndex]]&lt;=30,"Low",IF(StudentData[[#This Row],[RiskIndex]]&lt;=60,"Medium","High"))</f>
        <v>Low</v>
      </c>
      <c r="AP339">
        <f>StudentData[[#This Row],[G3]]+('Intervention Simulator'!$C$2*1.5)</f>
        <v>18</v>
      </c>
      <c r="AQ339" t="str">
        <f>IF(StudentData[[#This Row],[ProjectedGrade]]&gt;=10,"Pass","Fail")</f>
        <v>Pass</v>
      </c>
    </row>
    <row r="340" spans="1:43" x14ac:dyDescent="0.3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  <c r="AH340" t="str">
        <f>IF(StudentData[[#This Row],[G3]]&gt;=10,"Pass","Fail")</f>
        <v>Pass</v>
      </c>
      <c r="AI340">
        <f>IF(StudentData[[#This Row],[G3]]&lt;StudentData[[#This Row],[G2]],1,0)</f>
        <v>0</v>
      </c>
      <c r="AJ340">
        <f>IF(StudentData[[#This Row],[failures]]&gt;=2,100,IF(StudentData[[#This Row],[failures]]=1,60,0))</f>
        <v>0</v>
      </c>
      <c r="AK340">
        <f>IF(StudentData[[#This Row],[absences]]&gt;15,80,IF(StudentData[[#This Row],[absences]]&gt;10,50,0))</f>
        <v>0</v>
      </c>
      <c r="AL340">
        <f>IF(StudentData[[#This Row],[studytime]]=1,70,IF(StudentData[[#This Row],[studytime]]=2,40,0))</f>
        <v>0</v>
      </c>
      <c r="AM340">
        <f>IF(StudentData[[#This Row],[GradeDrop]]=1,50,0)</f>
        <v>0</v>
      </c>
      <c r="AN340">
        <f>0.4*StudentData[[#This Row],[FailureScore]]+0.3*StudentData[[#This Row],[AbsenceScore]]+0.2*StudentData[[#This Row],[StudyRisk]]+0.1*StudentData[[#This Row],[TrendRisk]]</f>
        <v>0</v>
      </c>
      <c r="AO340" t="str">
        <f>IF(StudentData[[#This Row],[RiskIndex]]&lt;=30,"Low",IF(StudentData[[#This Row],[RiskIndex]]&lt;=60,"Medium","High"))</f>
        <v>Low</v>
      </c>
      <c r="AP340">
        <f>StudentData[[#This Row],[G3]]+('Intervention Simulator'!$C$2*1.5)</f>
        <v>19</v>
      </c>
      <c r="AQ340" t="str">
        <f>IF(StudentData[[#This Row],[ProjectedGrade]]&gt;=10,"Pass","Fail")</f>
        <v>Pass</v>
      </c>
    </row>
    <row r="341" spans="1:43" x14ac:dyDescent="0.3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  <c r="AH341" t="str">
        <f>IF(StudentData[[#This Row],[G3]]&gt;=10,"Pass","Fail")</f>
        <v>Pass</v>
      </c>
      <c r="AI341">
        <f>IF(StudentData[[#This Row],[G3]]&lt;StudentData[[#This Row],[G2]],1,0)</f>
        <v>0</v>
      </c>
      <c r="AJ341">
        <f>IF(StudentData[[#This Row],[failures]]&gt;=2,100,IF(StudentData[[#This Row],[failures]]=1,60,0))</f>
        <v>0</v>
      </c>
      <c r="AK341">
        <f>IF(StudentData[[#This Row],[absences]]&gt;15,80,IF(StudentData[[#This Row],[absences]]&gt;10,50,0))</f>
        <v>0</v>
      </c>
      <c r="AL341">
        <f>IF(StudentData[[#This Row],[studytime]]=1,70,IF(StudentData[[#This Row],[studytime]]=2,40,0))</f>
        <v>0</v>
      </c>
      <c r="AM341">
        <f>IF(StudentData[[#This Row],[GradeDrop]]=1,50,0)</f>
        <v>0</v>
      </c>
      <c r="AN341">
        <f>0.4*StudentData[[#This Row],[FailureScore]]+0.3*StudentData[[#This Row],[AbsenceScore]]+0.2*StudentData[[#This Row],[StudyRisk]]+0.1*StudentData[[#This Row],[TrendRisk]]</f>
        <v>0</v>
      </c>
      <c r="AO341" t="str">
        <f>IF(StudentData[[#This Row],[RiskIndex]]&lt;=30,"Low",IF(StudentData[[#This Row],[RiskIndex]]&lt;=60,"Medium","High"))</f>
        <v>Low</v>
      </c>
      <c r="AP341">
        <f>StudentData[[#This Row],[G3]]+('Intervention Simulator'!$C$2*1.5)</f>
        <v>15</v>
      </c>
      <c r="AQ341" t="str">
        <f>IF(StudentData[[#This Row],[ProjectedGrade]]&gt;=10,"Pass","Fail")</f>
        <v>Pass</v>
      </c>
    </row>
    <row r="342" spans="1:43" x14ac:dyDescent="0.3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  <c r="AH342" t="str">
        <f>IF(StudentData[[#This Row],[G3]]&gt;=10,"Pass","Fail")</f>
        <v>Pass</v>
      </c>
      <c r="AI342">
        <f>IF(StudentData[[#This Row],[G3]]&lt;StudentData[[#This Row],[G2]],1,0)</f>
        <v>0</v>
      </c>
      <c r="AJ342">
        <f>IF(StudentData[[#This Row],[failures]]&gt;=2,100,IF(StudentData[[#This Row],[failures]]=1,60,0))</f>
        <v>0</v>
      </c>
      <c r="AK342">
        <f>IF(StudentData[[#This Row],[absences]]&gt;15,80,IF(StudentData[[#This Row],[absences]]&gt;10,50,0))</f>
        <v>0</v>
      </c>
      <c r="AL342">
        <f>IF(StudentData[[#This Row],[studytime]]=1,70,IF(StudentData[[#This Row],[studytime]]=2,40,0))</f>
        <v>70</v>
      </c>
      <c r="AM342">
        <f>IF(StudentData[[#This Row],[GradeDrop]]=1,50,0)</f>
        <v>0</v>
      </c>
      <c r="AN342">
        <f>0.4*StudentData[[#This Row],[FailureScore]]+0.3*StudentData[[#This Row],[AbsenceScore]]+0.2*StudentData[[#This Row],[StudyRisk]]+0.1*StudentData[[#This Row],[TrendRisk]]</f>
        <v>14</v>
      </c>
      <c r="AO342" t="str">
        <f>IF(StudentData[[#This Row],[RiskIndex]]&lt;=30,"Low",IF(StudentData[[#This Row],[RiskIndex]]&lt;=60,"Medium","High"))</f>
        <v>Low</v>
      </c>
      <c r="AP342">
        <f>StudentData[[#This Row],[G3]]+('Intervention Simulator'!$C$2*1.5)</f>
        <v>15</v>
      </c>
      <c r="AQ342" t="str">
        <f>IF(StudentData[[#This Row],[ProjectedGrade]]&gt;=10,"Pass","Fail")</f>
        <v>Pass</v>
      </c>
    </row>
    <row r="343" spans="1:43" x14ac:dyDescent="0.3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  <c r="AH343" t="str">
        <f>IF(StudentData[[#This Row],[G3]]&gt;=10,"Pass","Fail")</f>
        <v>Pass</v>
      </c>
      <c r="AI343">
        <f>IF(StudentData[[#This Row],[G3]]&lt;StudentData[[#This Row],[G2]],1,0)</f>
        <v>0</v>
      </c>
      <c r="AJ343">
        <f>IF(StudentData[[#This Row],[failures]]&gt;=2,100,IF(StudentData[[#This Row],[failures]]=1,60,0))</f>
        <v>0</v>
      </c>
      <c r="AK343">
        <f>IF(StudentData[[#This Row],[absences]]&gt;15,80,IF(StudentData[[#This Row],[absences]]&gt;10,50,0))</f>
        <v>0</v>
      </c>
      <c r="AL343">
        <f>IF(StudentData[[#This Row],[studytime]]=1,70,IF(StudentData[[#This Row],[studytime]]=2,40,0))</f>
        <v>40</v>
      </c>
      <c r="AM343">
        <f>IF(StudentData[[#This Row],[GradeDrop]]=1,50,0)</f>
        <v>0</v>
      </c>
      <c r="AN343">
        <f>0.4*StudentData[[#This Row],[FailureScore]]+0.3*StudentData[[#This Row],[AbsenceScore]]+0.2*StudentData[[#This Row],[StudyRisk]]+0.1*StudentData[[#This Row],[TrendRisk]]</f>
        <v>8</v>
      </c>
      <c r="AO343" t="str">
        <f>IF(StudentData[[#This Row],[RiskIndex]]&lt;=30,"Low",IF(StudentData[[#This Row],[RiskIndex]]&lt;=60,"Medium","High"))</f>
        <v>Low</v>
      </c>
      <c r="AP343">
        <f>StudentData[[#This Row],[G3]]+('Intervention Simulator'!$C$2*1.5)</f>
        <v>13</v>
      </c>
      <c r="AQ343" t="str">
        <f>IF(StudentData[[#This Row],[ProjectedGrade]]&gt;=10,"Pass","Fail")</f>
        <v>Pass</v>
      </c>
    </row>
    <row r="344" spans="1:43" x14ac:dyDescent="0.3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  <c r="AH344" t="str">
        <f>IF(StudentData[[#This Row],[G3]]&gt;=10,"Pass","Fail")</f>
        <v>Pass</v>
      </c>
      <c r="AI344">
        <f>IF(StudentData[[#This Row],[G3]]&lt;StudentData[[#This Row],[G2]],1,0)</f>
        <v>0</v>
      </c>
      <c r="AJ344">
        <f>IF(StudentData[[#This Row],[failures]]&gt;=2,100,IF(StudentData[[#This Row],[failures]]=1,60,0))</f>
        <v>0</v>
      </c>
      <c r="AK344">
        <f>IF(StudentData[[#This Row],[absences]]&gt;15,80,IF(StudentData[[#This Row],[absences]]&gt;10,50,0))</f>
        <v>0</v>
      </c>
      <c r="AL344">
        <f>IF(StudentData[[#This Row],[studytime]]=1,70,IF(StudentData[[#This Row],[studytime]]=2,40,0))</f>
        <v>40</v>
      </c>
      <c r="AM344">
        <f>IF(StudentData[[#This Row],[GradeDrop]]=1,50,0)</f>
        <v>0</v>
      </c>
      <c r="AN344">
        <f>0.4*StudentData[[#This Row],[FailureScore]]+0.3*StudentData[[#This Row],[AbsenceScore]]+0.2*StudentData[[#This Row],[StudyRisk]]+0.1*StudentData[[#This Row],[TrendRisk]]</f>
        <v>8</v>
      </c>
      <c r="AO344" t="str">
        <f>IF(StudentData[[#This Row],[RiskIndex]]&lt;=30,"Low",IF(StudentData[[#This Row],[RiskIndex]]&lt;=60,"Medium","High"))</f>
        <v>Low</v>
      </c>
      <c r="AP344">
        <f>StudentData[[#This Row],[G3]]+('Intervention Simulator'!$C$2*1.5)</f>
        <v>14</v>
      </c>
      <c r="AQ344" t="str">
        <f>IF(StudentData[[#This Row],[ProjectedGrade]]&gt;=10,"Pass","Fail")</f>
        <v>Pass</v>
      </c>
    </row>
    <row r="345" spans="1:43" x14ac:dyDescent="0.3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  <c r="AH345" t="str">
        <f>IF(StudentData[[#This Row],[G3]]&gt;=10,"Pass","Fail")</f>
        <v>Pass</v>
      </c>
      <c r="AI345">
        <f>IF(StudentData[[#This Row],[G3]]&lt;StudentData[[#This Row],[G2]],1,0)</f>
        <v>0</v>
      </c>
      <c r="AJ345">
        <f>IF(StudentData[[#This Row],[failures]]&gt;=2,100,IF(StudentData[[#This Row],[failures]]=1,60,0))</f>
        <v>0</v>
      </c>
      <c r="AK345">
        <f>IF(StudentData[[#This Row],[absences]]&gt;15,80,IF(StudentData[[#This Row],[absences]]&gt;10,50,0))</f>
        <v>0</v>
      </c>
      <c r="AL345">
        <f>IF(StudentData[[#This Row],[studytime]]=1,70,IF(StudentData[[#This Row],[studytime]]=2,40,0))</f>
        <v>0</v>
      </c>
      <c r="AM345">
        <f>IF(StudentData[[#This Row],[GradeDrop]]=1,50,0)</f>
        <v>0</v>
      </c>
      <c r="AN345">
        <f>0.4*StudentData[[#This Row],[FailureScore]]+0.3*StudentData[[#This Row],[AbsenceScore]]+0.2*StudentData[[#This Row],[StudyRisk]]+0.1*StudentData[[#This Row],[TrendRisk]]</f>
        <v>0</v>
      </c>
      <c r="AO345" t="str">
        <f>IF(StudentData[[#This Row],[RiskIndex]]&lt;=30,"Low",IF(StudentData[[#This Row],[RiskIndex]]&lt;=60,"Medium","High"))</f>
        <v>Low</v>
      </c>
      <c r="AP345">
        <f>StudentData[[#This Row],[G3]]+('Intervention Simulator'!$C$2*1.5)</f>
        <v>17</v>
      </c>
      <c r="AQ345" t="str">
        <f>IF(StudentData[[#This Row],[ProjectedGrade]]&gt;=10,"Pass","Fail")</f>
        <v>Pass</v>
      </c>
    </row>
    <row r="346" spans="1:43" x14ac:dyDescent="0.3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  <c r="AH346" t="str">
        <f>IF(StudentData[[#This Row],[G3]]&gt;=10,"Pass","Fail")</f>
        <v>Pass</v>
      </c>
      <c r="AI346">
        <f>IF(StudentData[[#This Row],[G3]]&lt;StudentData[[#This Row],[G2]],1,0)</f>
        <v>1</v>
      </c>
      <c r="AJ346">
        <f>IF(StudentData[[#This Row],[failures]]&gt;=2,100,IF(StudentData[[#This Row],[failures]]=1,60,0))</f>
        <v>0</v>
      </c>
      <c r="AK346">
        <f>IF(StudentData[[#This Row],[absences]]&gt;15,80,IF(StudentData[[#This Row],[absences]]&gt;10,50,0))</f>
        <v>0</v>
      </c>
      <c r="AL346">
        <f>IF(StudentData[[#This Row],[studytime]]=1,70,IF(StudentData[[#This Row],[studytime]]=2,40,0))</f>
        <v>70</v>
      </c>
      <c r="AM346">
        <f>IF(StudentData[[#This Row],[GradeDrop]]=1,50,0)</f>
        <v>50</v>
      </c>
      <c r="AN346">
        <f>0.4*StudentData[[#This Row],[FailureScore]]+0.3*StudentData[[#This Row],[AbsenceScore]]+0.2*StudentData[[#This Row],[StudyRisk]]+0.1*StudentData[[#This Row],[TrendRisk]]</f>
        <v>19</v>
      </c>
      <c r="AO346" t="str">
        <f>IF(StudentData[[#This Row],[RiskIndex]]&lt;=30,"Low",IF(StudentData[[#This Row],[RiskIndex]]&lt;=60,"Medium","High"))</f>
        <v>Low</v>
      </c>
      <c r="AP346">
        <f>StudentData[[#This Row],[G3]]+('Intervention Simulator'!$C$2*1.5)</f>
        <v>17</v>
      </c>
      <c r="AQ346" t="str">
        <f>IF(StudentData[[#This Row],[ProjectedGrade]]&gt;=10,"Pass","Fail")</f>
        <v>Pass</v>
      </c>
    </row>
    <row r="347" spans="1:43" x14ac:dyDescent="0.3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  <c r="AH347" t="str">
        <f>IF(StudentData[[#This Row],[G3]]&gt;=10,"Pass","Fail")</f>
        <v>Pass</v>
      </c>
      <c r="AI347">
        <f>IF(StudentData[[#This Row],[G3]]&lt;StudentData[[#This Row],[G2]],1,0)</f>
        <v>0</v>
      </c>
      <c r="AJ347">
        <f>IF(StudentData[[#This Row],[failures]]&gt;=2,100,IF(StudentData[[#This Row],[failures]]=1,60,0))</f>
        <v>0</v>
      </c>
      <c r="AK347">
        <f>IF(StudentData[[#This Row],[absences]]&gt;15,80,IF(StudentData[[#This Row],[absences]]&gt;10,50,0))</f>
        <v>0</v>
      </c>
      <c r="AL347">
        <f>IF(StudentData[[#This Row],[studytime]]=1,70,IF(StudentData[[#This Row],[studytime]]=2,40,0))</f>
        <v>40</v>
      </c>
      <c r="AM347">
        <f>IF(StudentData[[#This Row],[GradeDrop]]=1,50,0)</f>
        <v>0</v>
      </c>
      <c r="AN347">
        <f>0.4*StudentData[[#This Row],[FailureScore]]+0.3*StudentData[[#This Row],[AbsenceScore]]+0.2*StudentData[[#This Row],[StudyRisk]]+0.1*StudentData[[#This Row],[TrendRisk]]</f>
        <v>8</v>
      </c>
      <c r="AO347" t="str">
        <f>IF(StudentData[[#This Row],[RiskIndex]]&lt;=30,"Low",IF(StudentData[[#This Row],[RiskIndex]]&lt;=60,"Medium","High"))</f>
        <v>Low</v>
      </c>
      <c r="AP347">
        <f>StudentData[[#This Row],[G3]]+('Intervention Simulator'!$C$2*1.5)</f>
        <v>15</v>
      </c>
      <c r="AQ347" t="str">
        <f>IF(StudentData[[#This Row],[ProjectedGrade]]&gt;=10,"Pass","Fail")</f>
        <v>Pass</v>
      </c>
    </row>
    <row r="348" spans="1:43" x14ac:dyDescent="0.3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  <c r="AH348" t="str">
        <f>IF(StudentData[[#This Row],[G3]]&gt;=10,"Pass","Fail")</f>
        <v>Pass</v>
      </c>
      <c r="AI348">
        <f>IF(StudentData[[#This Row],[G3]]&lt;StudentData[[#This Row],[G2]],1,0)</f>
        <v>0</v>
      </c>
      <c r="AJ348">
        <f>IF(StudentData[[#This Row],[failures]]&gt;=2,100,IF(StudentData[[#This Row],[failures]]=1,60,0))</f>
        <v>0</v>
      </c>
      <c r="AK348">
        <f>IF(StudentData[[#This Row],[absences]]&gt;15,80,IF(StudentData[[#This Row],[absences]]&gt;10,50,0))</f>
        <v>0</v>
      </c>
      <c r="AL348">
        <f>IF(StudentData[[#This Row],[studytime]]=1,70,IF(StudentData[[#This Row],[studytime]]=2,40,0))</f>
        <v>70</v>
      </c>
      <c r="AM348">
        <f>IF(StudentData[[#This Row],[GradeDrop]]=1,50,0)</f>
        <v>0</v>
      </c>
      <c r="AN348">
        <f>0.4*StudentData[[#This Row],[FailureScore]]+0.3*StudentData[[#This Row],[AbsenceScore]]+0.2*StudentData[[#This Row],[StudyRisk]]+0.1*StudentData[[#This Row],[TrendRisk]]</f>
        <v>14</v>
      </c>
      <c r="AO348" t="str">
        <f>IF(StudentData[[#This Row],[RiskIndex]]&lt;=30,"Low",IF(StudentData[[#This Row],[RiskIndex]]&lt;=60,"Medium","High"))</f>
        <v>Low</v>
      </c>
      <c r="AP348">
        <f>StudentData[[#This Row],[G3]]+('Intervention Simulator'!$C$2*1.5)</f>
        <v>13</v>
      </c>
      <c r="AQ348" t="str">
        <f>IF(StudentData[[#This Row],[ProjectedGrade]]&gt;=10,"Pass","Fail")</f>
        <v>Pass</v>
      </c>
    </row>
    <row r="349" spans="1:43" x14ac:dyDescent="0.3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  <c r="AH349" t="str">
        <f>IF(StudentData[[#This Row],[G3]]&gt;=10,"Pass","Fail")</f>
        <v>Fail</v>
      </c>
      <c r="AI349">
        <f>IF(StudentData[[#This Row],[G3]]&lt;StudentData[[#This Row],[G2]],1,0)</f>
        <v>0</v>
      </c>
      <c r="AJ349">
        <f>IF(StudentData[[#This Row],[failures]]&gt;=2,100,IF(StudentData[[#This Row],[failures]]=1,60,0))</f>
        <v>0</v>
      </c>
      <c r="AK349">
        <f>IF(StudentData[[#This Row],[absences]]&gt;15,80,IF(StudentData[[#This Row],[absences]]&gt;10,50,0))</f>
        <v>0</v>
      </c>
      <c r="AL349">
        <f>IF(StudentData[[#This Row],[studytime]]=1,70,IF(StudentData[[#This Row],[studytime]]=2,40,0))</f>
        <v>0</v>
      </c>
      <c r="AM349">
        <f>IF(StudentData[[#This Row],[GradeDrop]]=1,50,0)</f>
        <v>0</v>
      </c>
      <c r="AN349">
        <f>0.4*StudentData[[#This Row],[FailureScore]]+0.3*StudentData[[#This Row],[AbsenceScore]]+0.2*StudentData[[#This Row],[StudyRisk]]+0.1*StudentData[[#This Row],[TrendRisk]]</f>
        <v>0</v>
      </c>
      <c r="AO349" t="str">
        <f>IF(StudentData[[#This Row],[RiskIndex]]&lt;=30,"Low",IF(StudentData[[#This Row],[RiskIndex]]&lt;=60,"Medium","High"))</f>
        <v>Low</v>
      </c>
      <c r="AP349">
        <f>StudentData[[#This Row],[G3]]+('Intervention Simulator'!$C$2*1.5)</f>
        <v>8</v>
      </c>
      <c r="AQ349" t="str">
        <f>IF(StudentData[[#This Row],[ProjectedGrade]]&gt;=10,"Pass","Fail")</f>
        <v>Fail</v>
      </c>
    </row>
    <row r="350" spans="1:4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  <c r="AH350" t="str">
        <f>IF(StudentData[[#This Row],[G3]]&gt;=10,"Pass","Fail")</f>
        <v>Pass</v>
      </c>
      <c r="AI350">
        <f>IF(StudentData[[#This Row],[G3]]&lt;StudentData[[#This Row],[G2]],1,0)</f>
        <v>0</v>
      </c>
      <c r="AJ350">
        <f>IF(StudentData[[#This Row],[failures]]&gt;=2,100,IF(StudentData[[#This Row],[failures]]=1,60,0))</f>
        <v>0</v>
      </c>
      <c r="AK350">
        <f>IF(StudentData[[#This Row],[absences]]&gt;15,80,IF(StudentData[[#This Row],[absences]]&gt;10,50,0))</f>
        <v>0</v>
      </c>
      <c r="AL350">
        <f>IF(StudentData[[#This Row],[studytime]]=1,70,IF(StudentData[[#This Row],[studytime]]=2,40,0))</f>
        <v>0</v>
      </c>
      <c r="AM350">
        <f>IF(StudentData[[#This Row],[GradeDrop]]=1,50,0)</f>
        <v>0</v>
      </c>
      <c r="AN350">
        <f>0.4*StudentData[[#This Row],[FailureScore]]+0.3*StudentData[[#This Row],[AbsenceScore]]+0.2*StudentData[[#This Row],[StudyRisk]]+0.1*StudentData[[#This Row],[TrendRisk]]</f>
        <v>0</v>
      </c>
      <c r="AO350" t="str">
        <f>IF(StudentData[[#This Row],[RiskIndex]]&lt;=30,"Low",IF(StudentData[[#This Row],[RiskIndex]]&lt;=60,"Medium","High"))</f>
        <v>Low</v>
      </c>
      <c r="AP350">
        <f>StudentData[[#This Row],[G3]]+('Intervention Simulator'!$C$2*1.5)</f>
        <v>16</v>
      </c>
      <c r="AQ350" t="str">
        <f>IF(StudentData[[#This Row],[ProjectedGrade]]&gt;=10,"Pass","Fail")</f>
        <v>Pass</v>
      </c>
    </row>
    <row r="351" spans="1:43" x14ac:dyDescent="0.3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  <c r="AH351" t="str">
        <f>IF(StudentData[[#This Row],[G3]]&gt;=10,"Pass","Fail")</f>
        <v>Pass</v>
      </c>
      <c r="AI351">
        <f>IF(StudentData[[#This Row],[G3]]&lt;StudentData[[#This Row],[G2]],1,0)</f>
        <v>0</v>
      </c>
      <c r="AJ351">
        <f>IF(StudentData[[#This Row],[failures]]&gt;=2,100,IF(StudentData[[#This Row],[failures]]=1,60,0))</f>
        <v>0</v>
      </c>
      <c r="AK351">
        <f>IF(StudentData[[#This Row],[absences]]&gt;15,80,IF(StudentData[[#This Row],[absences]]&gt;10,50,0))</f>
        <v>0</v>
      </c>
      <c r="AL351">
        <f>IF(StudentData[[#This Row],[studytime]]=1,70,IF(StudentData[[#This Row],[studytime]]=2,40,0))</f>
        <v>0</v>
      </c>
      <c r="AM351">
        <f>IF(StudentData[[#This Row],[GradeDrop]]=1,50,0)</f>
        <v>0</v>
      </c>
      <c r="AN351">
        <f>0.4*StudentData[[#This Row],[FailureScore]]+0.3*StudentData[[#This Row],[AbsenceScore]]+0.2*StudentData[[#This Row],[StudyRisk]]+0.1*StudentData[[#This Row],[TrendRisk]]</f>
        <v>0</v>
      </c>
      <c r="AO351" t="str">
        <f>IF(StudentData[[#This Row],[RiskIndex]]&lt;=30,"Low",IF(StudentData[[#This Row],[RiskIndex]]&lt;=60,"Medium","High"))</f>
        <v>Low</v>
      </c>
      <c r="AP351">
        <f>StudentData[[#This Row],[G3]]+('Intervention Simulator'!$C$2*1.5)</f>
        <v>18</v>
      </c>
      <c r="AQ351" t="str">
        <f>IF(StudentData[[#This Row],[ProjectedGrade]]&gt;=10,"Pass","Fail")</f>
        <v>Pass</v>
      </c>
    </row>
    <row r="352" spans="1:43" x14ac:dyDescent="0.3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  <c r="AH352" t="str">
        <f>IF(StudentData[[#This Row],[G3]]&gt;=10,"Pass","Fail")</f>
        <v>Pass</v>
      </c>
      <c r="AI352">
        <f>IF(StudentData[[#This Row],[G3]]&lt;StudentData[[#This Row],[G2]],1,0)</f>
        <v>0</v>
      </c>
      <c r="AJ352">
        <f>IF(StudentData[[#This Row],[failures]]&gt;=2,100,IF(StudentData[[#This Row],[failures]]=1,60,0))</f>
        <v>60</v>
      </c>
      <c r="AK352">
        <f>IF(StudentData[[#This Row],[absences]]&gt;15,80,IF(StudentData[[#This Row],[absences]]&gt;10,50,0))</f>
        <v>0</v>
      </c>
      <c r="AL352">
        <f>IF(StudentData[[#This Row],[studytime]]=1,70,IF(StudentData[[#This Row],[studytime]]=2,40,0))</f>
        <v>0</v>
      </c>
      <c r="AM352">
        <f>IF(StudentData[[#This Row],[GradeDrop]]=1,50,0)</f>
        <v>0</v>
      </c>
      <c r="AN352">
        <f>0.4*StudentData[[#This Row],[FailureScore]]+0.3*StudentData[[#This Row],[AbsenceScore]]+0.2*StudentData[[#This Row],[StudyRisk]]+0.1*StudentData[[#This Row],[TrendRisk]]</f>
        <v>24</v>
      </c>
      <c r="AO352" t="str">
        <f>IF(StudentData[[#This Row],[RiskIndex]]&lt;=30,"Low",IF(StudentData[[#This Row],[RiskIndex]]&lt;=60,"Medium","High"))</f>
        <v>Low</v>
      </c>
      <c r="AP352">
        <f>StudentData[[#This Row],[G3]]+('Intervention Simulator'!$C$2*1.5)</f>
        <v>11</v>
      </c>
      <c r="AQ352" t="str">
        <f>IF(StudentData[[#This Row],[ProjectedGrade]]&gt;=10,"Pass","Fail")</f>
        <v>Pass</v>
      </c>
    </row>
    <row r="353" spans="1:43" x14ac:dyDescent="0.3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  <c r="AH353" t="str">
        <f>IF(StudentData[[#This Row],[G3]]&gt;=10,"Pass","Fail")</f>
        <v>Pass</v>
      </c>
      <c r="AI353">
        <f>IF(StudentData[[#This Row],[G3]]&lt;StudentData[[#This Row],[G2]],1,0)</f>
        <v>0</v>
      </c>
      <c r="AJ353">
        <f>IF(StudentData[[#This Row],[failures]]&gt;=2,100,IF(StudentData[[#This Row],[failures]]=1,60,0))</f>
        <v>100</v>
      </c>
      <c r="AK353">
        <f>IF(StudentData[[#This Row],[absences]]&gt;15,80,IF(StudentData[[#This Row],[absences]]&gt;10,50,0))</f>
        <v>0</v>
      </c>
      <c r="AL353">
        <f>IF(StudentData[[#This Row],[studytime]]=1,70,IF(StudentData[[#This Row],[studytime]]=2,40,0))</f>
        <v>70</v>
      </c>
      <c r="AM353">
        <f>IF(StudentData[[#This Row],[GradeDrop]]=1,50,0)</f>
        <v>0</v>
      </c>
      <c r="AN353">
        <f>0.4*StudentData[[#This Row],[FailureScore]]+0.3*StudentData[[#This Row],[AbsenceScore]]+0.2*StudentData[[#This Row],[StudyRisk]]+0.1*StudentData[[#This Row],[TrendRisk]]</f>
        <v>54</v>
      </c>
      <c r="AO353" t="str">
        <f>IF(StudentData[[#This Row],[RiskIndex]]&lt;=30,"Low",IF(StudentData[[#This Row],[RiskIndex]]&lt;=60,"Medium","High"))</f>
        <v>Medium</v>
      </c>
      <c r="AP353">
        <f>StudentData[[#This Row],[G3]]+('Intervention Simulator'!$C$2*1.5)</f>
        <v>15</v>
      </c>
      <c r="AQ353" t="str">
        <f>IF(StudentData[[#This Row],[ProjectedGrade]]&gt;=10,"Pass","Fail")</f>
        <v>Pass</v>
      </c>
    </row>
    <row r="354" spans="1:43" x14ac:dyDescent="0.3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  <c r="AH354" t="str">
        <f>IF(StudentData[[#This Row],[G3]]&gt;=10,"Pass","Fail")</f>
        <v>Pass</v>
      </c>
      <c r="AI354">
        <f>IF(StudentData[[#This Row],[G3]]&lt;StudentData[[#This Row],[G2]],1,0)</f>
        <v>0</v>
      </c>
      <c r="AJ354">
        <f>IF(StudentData[[#This Row],[failures]]&gt;=2,100,IF(StudentData[[#This Row],[failures]]=1,60,0))</f>
        <v>0</v>
      </c>
      <c r="AK354">
        <f>IF(StudentData[[#This Row],[absences]]&gt;15,80,IF(StudentData[[#This Row],[absences]]&gt;10,50,0))</f>
        <v>0</v>
      </c>
      <c r="AL354">
        <f>IF(StudentData[[#This Row],[studytime]]=1,70,IF(StudentData[[#This Row],[studytime]]=2,40,0))</f>
        <v>40</v>
      </c>
      <c r="AM354">
        <f>IF(StudentData[[#This Row],[GradeDrop]]=1,50,0)</f>
        <v>0</v>
      </c>
      <c r="AN354">
        <f>0.4*StudentData[[#This Row],[FailureScore]]+0.3*StudentData[[#This Row],[AbsenceScore]]+0.2*StudentData[[#This Row],[StudyRisk]]+0.1*StudentData[[#This Row],[TrendRisk]]</f>
        <v>8</v>
      </c>
      <c r="AO354" t="str">
        <f>IF(StudentData[[#This Row],[RiskIndex]]&lt;=30,"Low",IF(StudentData[[#This Row],[RiskIndex]]&lt;=60,"Medium","High"))</f>
        <v>Low</v>
      </c>
      <c r="AP354">
        <f>StudentData[[#This Row],[G3]]+('Intervention Simulator'!$C$2*1.5)</f>
        <v>11</v>
      </c>
      <c r="AQ354" t="str">
        <f>IF(StudentData[[#This Row],[ProjectedGrade]]&gt;=10,"Pass","Fail")</f>
        <v>Pass</v>
      </c>
    </row>
    <row r="355" spans="1:43" x14ac:dyDescent="0.3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  <c r="AH355" t="str">
        <f>IF(StudentData[[#This Row],[G3]]&gt;=10,"Pass","Fail")</f>
        <v>Pass</v>
      </c>
      <c r="AI355">
        <f>IF(StudentData[[#This Row],[G3]]&lt;StudentData[[#This Row],[G2]],1,0)</f>
        <v>0</v>
      </c>
      <c r="AJ355">
        <f>IF(StudentData[[#This Row],[failures]]&gt;=2,100,IF(StudentData[[#This Row],[failures]]=1,60,0))</f>
        <v>0</v>
      </c>
      <c r="AK355">
        <f>IF(StudentData[[#This Row],[absences]]&gt;15,80,IF(StudentData[[#This Row],[absences]]&gt;10,50,0))</f>
        <v>0</v>
      </c>
      <c r="AL355">
        <f>IF(StudentData[[#This Row],[studytime]]=1,70,IF(StudentData[[#This Row],[studytime]]=2,40,0))</f>
        <v>40</v>
      </c>
      <c r="AM355">
        <f>IF(StudentData[[#This Row],[GradeDrop]]=1,50,0)</f>
        <v>0</v>
      </c>
      <c r="AN355">
        <f>0.4*StudentData[[#This Row],[FailureScore]]+0.3*StudentData[[#This Row],[AbsenceScore]]+0.2*StudentData[[#This Row],[StudyRisk]]+0.1*StudentData[[#This Row],[TrendRisk]]</f>
        <v>8</v>
      </c>
      <c r="AO355" t="str">
        <f>IF(StudentData[[#This Row],[RiskIndex]]&lt;=30,"Low",IF(StudentData[[#This Row],[RiskIndex]]&lt;=60,"Medium","High"))</f>
        <v>Low</v>
      </c>
      <c r="AP355">
        <f>StudentData[[#This Row],[G3]]+('Intervention Simulator'!$C$2*1.5)</f>
        <v>11</v>
      </c>
      <c r="AQ355" t="str">
        <f>IF(StudentData[[#This Row],[ProjectedGrade]]&gt;=10,"Pass","Fail")</f>
        <v>Pass</v>
      </c>
    </row>
    <row r="356" spans="1:43" x14ac:dyDescent="0.3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  <c r="AH356" t="str">
        <f>IF(StudentData[[#This Row],[G3]]&gt;=10,"Pass","Fail")</f>
        <v>Pass</v>
      </c>
      <c r="AI356">
        <f>IF(StudentData[[#This Row],[G3]]&lt;StudentData[[#This Row],[G2]],1,0)</f>
        <v>0</v>
      </c>
      <c r="AJ356">
        <f>IF(StudentData[[#This Row],[failures]]&gt;=2,100,IF(StudentData[[#This Row],[failures]]=1,60,0))</f>
        <v>0</v>
      </c>
      <c r="AK356">
        <f>IF(StudentData[[#This Row],[absences]]&gt;15,80,IF(StudentData[[#This Row],[absences]]&gt;10,50,0))</f>
        <v>0</v>
      </c>
      <c r="AL356">
        <f>IF(StudentData[[#This Row],[studytime]]=1,70,IF(StudentData[[#This Row],[studytime]]=2,40,0))</f>
        <v>40</v>
      </c>
      <c r="AM356">
        <f>IF(StudentData[[#This Row],[GradeDrop]]=1,50,0)</f>
        <v>0</v>
      </c>
      <c r="AN356">
        <f>0.4*StudentData[[#This Row],[FailureScore]]+0.3*StudentData[[#This Row],[AbsenceScore]]+0.2*StudentData[[#This Row],[StudyRisk]]+0.1*StudentData[[#This Row],[TrendRisk]]</f>
        <v>8</v>
      </c>
      <c r="AO356" t="str">
        <f>IF(StudentData[[#This Row],[RiskIndex]]&lt;=30,"Low",IF(StudentData[[#This Row],[RiskIndex]]&lt;=60,"Medium","High"))</f>
        <v>Low</v>
      </c>
      <c r="AP356">
        <f>StudentData[[#This Row],[G3]]+('Intervention Simulator'!$C$2*1.5)</f>
        <v>15</v>
      </c>
      <c r="AQ356" t="str">
        <f>IF(StudentData[[#This Row],[ProjectedGrade]]&gt;=10,"Pass","Fail")</f>
        <v>Pass</v>
      </c>
    </row>
    <row r="357" spans="1:43" x14ac:dyDescent="0.3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  <c r="AH357" t="str">
        <f>IF(StudentData[[#This Row],[G3]]&gt;=10,"Pass","Fail")</f>
        <v>Pass</v>
      </c>
      <c r="AI357">
        <f>IF(StudentData[[#This Row],[G3]]&lt;StudentData[[#This Row],[G2]],1,0)</f>
        <v>0</v>
      </c>
      <c r="AJ357">
        <f>IF(StudentData[[#This Row],[failures]]&gt;=2,100,IF(StudentData[[#This Row],[failures]]=1,60,0))</f>
        <v>0</v>
      </c>
      <c r="AK357">
        <f>IF(StudentData[[#This Row],[absences]]&gt;15,80,IF(StudentData[[#This Row],[absences]]&gt;10,50,0))</f>
        <v>0</v>
      </c>
      <c r="AL357">
        <f>IF(StudentData[[#This Row],[studytime]]=1,70,IF(StudentData[[#This Row],[studytime]]=2,40,0))</f>
        <v>40</v>
      </c>
      <c r="AM357">
        <f>IF(StudentData[[#This Row],[GradeDrop]]=1,50,0)</f>
        <v>0</v>
      </c>
      <c r="AN357">
        <f>0.4*StudentData[[#This Row],[FailureScore]]+0.3*StudentData[[#This Row],[AbsenceScore]]+0.2*StudentData[[#This Row],[StudyRisk]]+0.1*StudentData[[#This Row],[TrendRisk]]</f>
        <v>8</v>
      </c>
      <c r="AO357" t="str">
        <f>IF(StudentData[[#This Row],[RiskIndex]]&lt;=30,"Low",IF(StudentData[[#This Row],[RiskIndex]]&lt;=60,"Medium","High"))</f>
        <v>Low</v>
      </c>
      <c r="AP357">
        <f>StudentData[[#This Row],[G3]]+('Intervention Simulator'!$C$2*1.5)</f>
        <v>14</v>
      </c>
      <c r="AQ357" t="str">
        <f>IF(StudentData[[#This Row],[ProjectedGrade]]&gt;=10,"Pass","Fail")</f>
        <v>Pass</v>
      </c>
    </row>
    <row r="358" spans="1:43" x14ac:dyDescent="0.3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  <c r="AH358" t="str">
        <f>IF(StudentData[[#This Row],[G3]]&gt;=10,"Pass","Fail")</f>
        <v>Pass</v>
      </c>
      <c r="AI358">
        <f>IF(StudentData[[#This Row],[G3]]&lt;StudentData[[#This Row],[G2]],1,0)</f>
        <v>0</v>
      </c>
      <c r="AJ358">
        <f>IF(StudentData[[#This Row],[failures]]&gt;=2,100,IF(StudentData[[#This Row],[failures]]=1,60,0))</f>
        <v>0</v>
      </c>
      <c r="AK358">
        <f>IF(StudentData[[#This Row],[absences]]&gt;15,80,IF(StudentData[[#This Row],[absences]]&gt;10,50,0))</f>
        <v>0</v>
      </c>
      <c r="AL358">
        <f>IF(StudentData[[#This Row],[studytime]]=1,70,IF(StudentData[[#This Row],[studytime]]=2,40,0))</f>
        <v>70</v>
      </c>
      <c r="AM358">
        <f>IF(StudentData[[#This Row],[GradeDrop]]=1,50,0)</f>
        <v>0</v>
      </c>
      <c r="AN358">
        <f>0.4*StudentData[[#This Row],[FailureScore]]+0.3*StudentData[[#This Row],[AbsenceScore]]+0.2*StudentData[[#This Row],[StudyRisk]]+0.1*StudentData[[#This Row],[TrendRisk]]</f>
        <v>14</v>
      </c>
      <c r="AO358" t="str">
        <f>IF(StudentData[[#This Row],[RiskIndex]]&lt;=30,"Low",IF(StudentData[[#This Row],[RiskIndex]]&lt;=60,"Medium","High"))</f>
        <v>Low</v>
      </c>
      <c r="AP358">
        <f>StudentData[[#This Row],[G3]]+('Intervention Simulator'!$C$2*1.5)</f>
        <v>17</v>
      </c>
      <c r="AQ358" t="str">
        <f>IF(StudentData[[#This Row],[ProjectedGrade]]&gt;=10,"Pass","Fail")</f>
        <v>Pass</v>
      </c>
    </row>
    <row r="359" spans="1:43" x14ac:dyDescent="0.3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  <c r="AH359" t="str">
        <f>IF(StudentData[[#This Row],[G3]]&gt;=10,"Pass","Fail")</f>
        <v>Pass</v>
      </c>
      <c r="AI359">
        <f>IF(StudentData[[#This Row],[G3]]&lt;StudentData[[#This Row],[G2]],1,0)</f>
        <v>0</v>
      </c>
      <c r="AJ359">
        <f>IF(StudentData[[#This Row],[failures]]&gt;=2,100,IF(StudentData[[#This Row],[failures]]=1,60,0))</f>
        <v>0</v>
      </c>
      <c r="AK359">
        <f>IF(StudentData[[#This Row],[absences]]&gt;15,80,IF(StudentData[[#This Row],[absences]]&gt;10,50,0))</f>
        <v>0</v>
      </c>
      <c r="AL359">
        <f>IF(StudentData[[#This Row],[studytime]]=1,70,IF(StudentData[[#This Row],[studytime]]=2,40,0))</f>
        <v>0</v>
      </c>
      <c r="AM359">
        <f>IF(StudentData[[#This Row],[GradeDrop]]=1,50,0)</f>
        <v>0</v>
      </c>
      <c r="AN359">
        <f>0.4*StudentData[[#This Row],[FailureScore]]+0.3*StudentData[[#This Row],[AbsenceScore]]+0.2*StudentData[[#This Row],[StudyRisk]]+0.1*StudentData[[#This Row],[TrendRisk]]</f>
        <v>0</v>
      </c>
      <c r="AO359" t="str">
        <f>IF(StudentData[[#This Row],[RiskIndex]]&lt;=30,"Low",IF(StudentData[[#This Row],[RiskIndex]]&lt;=60,"Medium","High"))</f>
        <v>Low</v>
      </c>
      <c r="AP359">
        <f>StudentData[[#This Row],[G3]]+('Intervention Simulator'!$C$2*1.5)</f>
        <v>17</v>
      </c>
      <c r="AQ359" t="str">
        <f>IF(StudentData[[#This Row],[ProjectedGrade]]&gt;=10,"Pass","Fail")</f>
        <v>Pass</v>
      </c>
    </row>
    <row r="360" spans="1:43" x14ac:dyDescent="0.3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  <c r="AH360" t="str">
        <f>IF(StudentData[[#This Row],[G3]]&gt;=10,"Pass","Fail")</f>
        <v>Pass</v>
      </c>
      <c r="AI360">
        <f>IF(StudentData[[#This Row],[G3]]&lt;StudentData[[#This Row],[G2]],1,0)</f>
        <v>0</v>
      </c>
      <c r="AJ360">
        <f>IF(StudentData[[#This Row],[failures]]&gt;=2,100,IF(StudentData[[#This Row],[failures]]=1,60,0))</f>
        <v>0</v>
      </c>
      <c r="AK360">
        <f>IF(StudentData[[#This Row],[absences]]&gt;15,80,IF(StudentData[[#This Row],[absences]]&gt;10,50,0))</f>
        <v>0</v>
      </c>
      <c r="AL360">
        <f>IF(StudentData[[#This Row],[studytime]]=1,70,IF(StudentData[[#This Row],[studytime]]=2,40,0))</f>
        <v>70</v>
      </c>
      <c r="AM360">
        <f>IF(StudentData[[#This Row],[GradeDrop]]=1,50,0)</f>
        <v>0</v>
      </c>
      <c r="AN360">
        <f>0.4*StudentData[[#This Row],[FailureScore]]+0.3*StudentData[[#This Row],[AbsenceScore]]+0.2*StudentData[[#This Row],[StudyRisk]]+0.1*StudentData[[#This Row],[TrendRisk]]</f>
        <v>14</v>
      </c>
      <c r="AO360" t="str">
        <f>IF(StudentData[[#This Row],[RiskIndex]]&lt;=30,"Low",IF(StudentData[[#This Row],[RiskIndex]]&lt;=60,"Medium","High"))</f>
        <v>Low</v>
      </c>
      <c r="AP360">
        <f>StudentData[[#This Row],[G3]]+('Intervention Simulator'!$C$2*1.5)</f>
        <v>15</v>
      </c>
      <c r="AQ360" t="str">
        <f>IF(StudentData[[#This Row],[ProjectedGrade]]&gt;=10,"Pass","Fail")</f>
        <v>Pass</v>
      </c>
    </row>
    <row r="361" spans="1:43" x14ac:dyDescent="0.3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  <c r="AH361" t="str">
        <f>IF(StudentData[[#This Row],[G3]]&gt;=10,"Pass","Fail")</f>
        <v>Pass</v>
      </c>
      <c r="AI361">
        <f>IF(StudentData[[#This Row],[G3]]&lt;StudentData[[#This Row],[G2]],1,0)</f>
        <v>0</v>
      </c>
      <c r="AJ361">
        <f>IF(StudentData[[#This Row],[failures]]&gt;=2,100,IF(StudentData[[#This Row],[failures]]=1,60,0))</f>
        <v>0</v>
      </c>
      <c r="AK361">
        <f>IF(StudentData[[#This Row],[absences]]&gt;15,80,IF(StudentData[[#This Row],[absences]]&gt;10,50,0))</f>
        <v>0</v>
      </c>
      <c r="AL361">
        <f>IF(StudentData[[#This Row],[studytime]]=1,70,IF(StudentData[[#This Row],[studytime]]=2,40,0))</f>
        <v>0</v>
      </c>
      <c r="AM361">
        <f>IF(StudentData[[#This Row],[GradeDrop]]=1,50,0)</f>
        <v>0</v>
      </c>
      <c r="AN361">
        <f>0.4*StudentData[[#This Row],[FailureScore]]+0.3*StudentData[[#This Row],[AbsenceScore]]+0.2*StudentData[[#This Row],[StudyRisk]]+0.1*StudentData[[#This Row],[TrendRisk]]</f>
        <v>0</v>
      </c>
      <c r="AO361" t="str">
        <f>IF(StudentData[[#This Row],[RiskIndex]]&lt;=30,"Low",IF(StudentData[[#This Row],[RiskIndex]]&lt;=60,"Medium","High"))</f>
        <v>Low</v>
      </c>
      <c r="AP361">
        <f>StudentData[[#This Row],[G3]]+('Intervention Simulator'!$C$2*1.5)</f>
        <v>17</v>
      </c>
      <c r="AQ361" t="str">
        <f>IF(StudentData[[#This Row],[ProjectedGrade]]&gt;=10,"Pass","Fail")</f>
        <v>Pass</v>
      </c>
    </row>
    <row r="362" spans="1:43" x14ac:dyDescent="0.3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  <c r="AH362" t="str">
        <f>IF(StudentData[[#This Row],[G3]]&gt;=10,"Pass","Fail")</f>
        <v>Pass</v>
      </c>
      <c r="AI362">
        <f>IF(StudentData[[#This Row],[G3]]&lt;StudentData[[#This Row],[G2]],1,0)</f>
        <v>0</v>
      </c>
      <c r="AJ362">
        <f>IF(StudentData[[#This Row],[failures]]&gt;=2,100,IF(StudentData[[#This Row],[failures]]=1,60,0))</f>
        <v>0</v>
      </c>
      <c r="AK362">
        <f>IF(StudentData[[#This Row],[absences]]&gt;15,80,IF(StudentData[[#This Row],[absences]]&gt;10,50,0))</f>
        <v>0</v>
      </c>
      <c r="AL362">
        <f>IF(StudentData[[#This Row],[studytime]]=1,70,IF(StudentData[[#This Row],[studytime]]=2,40,0))</f>
        <v>40</v>
      </c>
      <c r="AM362">
        <f>IF(StudentData[[#This Row],[GradeDrop]]=1,50,0)</f>
        <v>0</v>
      </c>
      <c r="AN362">
        <f>0.4*StudentData[[#This Row],[FailureScore]]+0.3*StudentData[[#This Row],[AbsenceScore]]+0.2*StudentData[[#This Row],[StudyRisk]]+0.1*StudentData[[#This Row],[TrendRisk]]</f>
        <v>8</v>
      </c>
      <c r="AO362" t="str">
        <f>IF(StudentData[[#This Row],[RiskIndex]]&lt;=30,"Low",IF(StudentData[[#This Row],[RiskIndex]]&lt;=60,"Medium","High"))</f>
        <v>Low</v>
      </c>
      <c r="AP362">
        <f>StudentData[[#This Row],[G3]]+('Intervention Simulator'!$C$2*1.5)</f>
        <v>14</v>
      </c>
      <c r="AQ362" t="str">
        <f>IF(StudentData[[#This Row],[ProjectedGrade]]&gt;=10,"Pass","Fail")</f>
        <v>Pass</v>
      </c>
    </row>
    <row r="363" spans="1:43" x14ac:dyDescent="0.3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  <c r="AH363" t="str">
        <f>IF(StudentData[[#This Row],[G3]]&gt;=10,"Pass","Fail")</f>
        <v>Pass</v>
      </c>
      <c r="AI363">
        <f>IF(StudentData[[#This Row],[G3]]&lt;StudentData[[#This Row],[G2]],1,0)</f>
        <v>0</v>
      </c>
      <c r="AJ363">
        <f>IF(StudentData[[#This Row],[failures]]&gt;=2,100,IF(StudentData[[#This Row],[failures]]=1,60,0))</f>
        <v>0</v>
      </c>
      <c r="AK363">
        <f>IF(StudentData[[#This Row],[absences]]&gt;15,80,IF(StudentData[[#This Row],[absences]]&gt;10,50,0))</f>
        <v>0</v>
      </c>
      <c r="AL363">
        <f>IF(StudentData[[#This Row],[studytime]]=1,70,IF(StudentData[[#This Row],[studytime]]=2,40,0))</f>
        <v>40</v>
      </c>
      <c r="AM363">
        <f>IF(StudentData[[#This Row],[GradeDrop]]=1,50,0)</f>
        <v>0</v>
      </c>
      <c r="AN363">
        <f>0.4*StudentData[[#This Row],[FailureScore]]+0.3*StudentData[[#This Row],[AbsenceScore]]+0.2*StudentData[[#This Row],[StudyRisk]]+0.1*StudentData[[#This Row],[TrendRisk]]</f>
        <v>8</v>
      </c>
      <c r="AO363" t="str">
        <f>IF(StudentData[[#This Row],[RiskIndex]]&lt;=30,"Low",IF(StudentData[[#This Row],[RiskIndex]]&lt;=60,"Medium","High"))</f>
        <v>Low</v>
      </c>
      <c r="AP363">
        <f>StudentData[[#This Row],[G3]]+('Intervention Simulator'!$C$2*1.5)</f>
        <v>10</v>
      </c>
      <c r="AQ363" t="str">
        <f>IF(StudentData[[#This Row],[ProjectedGrade]]&gt;=10,"Pass","Fail")</f>
        <v>Pass</v>
      </c>
    </row>
    <row r="364" spans="1:43" x14ac:dyDescent="0.3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  <c r="AH364" t="str">
        <f>IF(StudentData[[#This Row],[G3]]&gt;=10,"Pass","Fail")</f>
        <v>Pass</v>
      </c>
      <c r="AI364">
        <f>IF(StudentData[[#This Row],[G3]]&lt;StudentData[[#This Row],[G2]],1,0)</f>
        <v>0</v>
      </c>
      <c r="AJ364">
        <f>IF(StudentData[[#This Row],[failures]]&gt;=2,100,IF(StudentData[[#This Row],[failures]]=1,60,0))</f>
        <v>0</v>
      </c>
      <c r="AK364">
        <f>IF(StudentData[[#This Row],[absences]]&gt;15,80,IF(StudentData[[#This Row],[absences]]&gt;10,50,0))</f>
        <v>0</v>
      </c>
      <c r="AL364">
        <f>IF(StudentData[[#This Row],[studytime]]=1,70,IF(StudentData[[#This Row],[studytime]]=2,40,0))</f>
        <v>40</v>
      </c>
      <c r="AM364">
        <f>IF(StudentData[[#This Row],[GradeDrop]]=1,50,0)</f>
        <v>0</v>
      </c>
      <c r="AN364">
        <f>0.4*StudentData[[#This Row],[FailureScore]]+0.3*StudentData[[#This Row],[AbsenceScore]]+0.2*StudentData[[#This Row],[StudyRisk]]+0.1*StudentData[[#This Row],[TrendRisk]]</f>
        <v>8</v>
      </c>
      <c r="AO364" t="str">
        <f>IF(StudentData[[#This Row],[RiskIndex]]&lt;=30,"Low",IF(StudentData[[#This Row],[RiskIndex]]&lt;=60,"Medium","High"))</f>
        <v>Low</v>
      </c>
      <c r="AP364">
        <f>StudentData[[#This Row],[G3]]+('Intervention Simulator'!$C$2*1.5)</f>
        <v>13</v>
      </c>
      <c r="AQ364" t="str">
        <f>IF(StudentData[[#This Row],[ProjectedGrade]]&gt;=10,"Pass","Fail")</f>
        <v>Pass</v>
      </c>
    </row>
    <row r="365" spans="1:43" x14ac:dyDescent="0.3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  <c r="AH365" t="str">
        <f>IF(StudentData[[#This Row],[G3]]&gt;=10,"Pass","Fail")</f>
        <v>Pass</v>
      </c>
      <c r="AI365">
        <f>IF(StudentData[[#This Row],[G3]]&lt;StudentData[[#This Row],[G2]],1,0)</f>
        <v>0</v>
      </c>
      <c r="AJ365">
        <f>IF(StudentData[[#This Row],[failures]]&gt;=2,100,IF(StudentData[[#This Row],[failures]]=1,60,0))</f>
        <v>0</v>
      </c>
      <c r="AK365">
        <f>IF(StudentData[[#This Row],[absences]]&gt;15,80,IF(StudentData[[#This Row],[absences]]&gt;10,50,0))</f>
        <v>0</v>
      </c>
      <c r="AL365">
        <f>IF(StudentData[[#This Row],[studytime]]=1,70,IF(StudentData[[#This Row],[studytime]]=2,40,0))</f>
        <v>70</v>
      </c>
      <c r="AM365">
        <f>IF(StudentData[[#This Row],[GradeDrop]]=1,50,0)</f>
        <v>0</v>
      </c>
      <c r="AN365">
        <f>0.4*StudentData[[#This Row],[FailureScore]]+0.3*StudentData[[#This Row],[AbsenceScore]]+0.2*StudentData[[#This Row],[StudyRisk]]+0.1*StudentData[[#This Row],[TrendRisk]]</f>
        <v>14</v>
      </c>
      <c r="AO365" t="str">
        <f>IF(StudentData[[#This Row],[RiskIndex]]&lt;=30,"Low",IF(StudentData[[#This Row],[RiskIndex]]&lt;=60,"Medium","High"))</f>
        <v>Low</v>
      </c>
      <c r="AP365">
        <f>StudentData[[#This Row],[G3]]+('Intervention Simulator'!$C$2*1.5)</f>
        <v>14</v>
      </c>
      <c r="AQ365" t="str">
        <f>IF(StudentData[[#This Row],[ProjectedGrade]]&gt;=10,"Pass","Fail")</f>
        <v>Pass</v>
      </c>
    </row>
    <row r="366" spans="1:43" x14ac:dyDescent="0.3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  <c r="AH366" t="str">
        <f>IF(StudentData[[#This Row],[G3]]&gt;=10,"Pass","Fail")</f>
        <v>Pass</v>
      </c>
      <c r="AI366">
        <f>IF(StudentData[[#This Row],[G3]]&lt;StudentData[[#This Row],[G2]],1,0)</f>
        <v>0</v>
      </c>
      <c r="AJ366">
        <f>IF(StudentData[[#This Row],[failures]]&gt;=2,100,IF(StudentData[[#This Row],[failures]]=1,60,0))</f>
        <v>0</v>
      </c>
      <c r="AK366">
        <f>IF(StudentData[[#This Row],[absences]]&gt;15,80,IF(StudentData[[#This Row],[absences]]&gt;10,50,0))</f>
        <v>0</v>
      </c>
      <c r="AL366">
        <f>IF(StudentData[[#This Row],[studytime]]=1,70,IF(StudentData[[#This Row],[studytime]]=2,40,0))</f>
        <v>70</v>
      </c>
      <c r="AM366">
        <f>IF(StudentData[[#This Row],[GradeDrop]]=1,50,0)</f>
        <v>0</v>
      </c>
      <c r="AN366">
        <f>0.4*StudentData[[#This Row],[FailureScore]]+0.3*StudentData[[#This Row],[AbsenceScore]]+0.2*StudentData[[#This Row],[StudyRisk]]+0.1*StudentData[[#This Row],[TrendRisk]]</f>
        <v>14</v>
      </c>
      <c r="AO366" t="str">
        <f>IF(StudentData[[#This Row],[RiskIndex]]&lt;=30,"Low",IF(StudentData[[#This Row],[RiskIndex]]&lt;=60,"Medium","High"))</f>
        <v>Low</v>
      </c>
      <c r="AP366">
        <f>StudentData[[#This Row],[G3]]+('Intervention Simulator'!$C$2*1.5)</f>
        <v>17</v>
      </c>
      <c r="AQ366" t="str">
        <f>IF(StudentData[[#This Row],[ProjectedGrade]]&gt;=10,"Pass","Fail")</f>
        <v>Pass</v>
      </c>
    </row>
    <row r="367" spans="1:43" x14ac:dyDescent="0.3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  <c r="AH367" t="str">
        <f>IF(StudentData[[#This Row],[G3]]&gt;=10,"Pass","Fail")</f>
        <v>Pass</v>
      </c>
      <c r="AI367">
        <f>IF(StudentData[[#This Row],[G3]]&lt;StudentData[[#This Row],[G2]],1,0)</f>
        <v>0</v>
      </c>
      <c r="AJ367">
        <f>IF(StudentData[[#This Row],[failures]]&gt;=2,100,IF(StudentData[[#This Row],[failures]]=1,60,0))</f>
        <v>0</v>
      </c>
      <c r="AK367">
        <f>IF(StudentData[[#This Row],[absences]]&gt;15,80,IF(StudentData[[#This Row],[absences]]&gt;10,50,0))</f>
        <v>50</v>
      </c>
      <c r="AL367">
        <f>IF(StudentData[[#This Row],[studytime]]=1,70,IF(StudentData[[#This Row],[studytime]]=2,40,0))</f>
        <v>40</v>
      </c>
      <c r="AM367">
        <f>IF(StudentData[[#This Row],[GradeDrop]]=1,50,0)</f>
        <v>0</v>
      </c>
      <c r="AN367">
        <f>0.4*StudentData[[#This Row],[FailureScore]]+0.3*StudentData[[#This Row],[AbsenceScore]]+0.2*StudentData[[#This Row],[StudyRisk]]+0.1*StudentData[[#This Row],[TrendRisk]]</f>
        <v>23</v>
      </c>
      <c r="AO367" t="str">
        <f>IF(StudentData[[#This Row],[RiskIndex]]&lt;=30,"Low",IF(StudentData[[#This Row],[RiskIndex]]&lt;=60,"Medium","High"))</f>
        <v>Low</v>
      </c>
      <c r="AP367">
        <f>StudentData[[#This Row],[G3]]+('Intervention Simulator'!$C$2*1.5)</f>
        <v>17</v>
      </c>
      <c r="AQ367" t="str">
        <f>IF(StudentData[[#This Row],[ProjectedGrade]]&gt;=10,"Pass","Fail")</f>
        <v>Pass</v>
      </c>
    </row>
    <row r="368" spans="1:43" x14ac:dyDescent="0.3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  <c r="AH368" t="str">
        <f>IF(StudentData[[#This Row],[G3]]&gt;=10,"Pass","Fail")</f>
        <v>Pass</v>
      </c>
      <c r="AI368">
        <f>IF(StudentData[[#This Row],[G3]]&lt;StudentData[[#This Row],[G2]],1,0)</f>
        <v>0</v>
      </c>
      <c r="AJ368">
        <f>IF(StudentData[[#This Row],[failures]]&gt;=2,100,IF(StudentData[[#This Row],[failures]]=1,60,0))</f>
        <v>0</v>
      </c>
      <c r="AK368">
        <f>IF(StudentData[[#This Row],[absences]]&gt;15,80,IF(StudentData[[#This Row],[absences]]&gt;10,50,0))</f>
        <v>0</v>
      </c>
      <c r="AL368">
        <f>IF(StudentData[[#This Row],[studytime]]=1,70,IF(StudentData[[#This Row],[studytime]]=2,40,0))</f>
        <v>40</v>
      </c>
      <c r="AM368">
        <f>IF(StudentData[[#This Row],[GradeDrop]]=1,50,0)</f>
        <v>0</v>
      </c>
      <c r="AN368">
        <f>0.4*StudentData[[#This Row],[FailureScore]]+0.3*StudentData[[#This Row],[AbsenceScore]]+0.2*StudentData[[#This Row],[StudyRisk]]+0.1*StudentData[[#This Row],[TrendRisk]]</f>
        <v>8</v>
      </c>
      <c r="AO368" t="str">
        <f>IF(StudentData[[#This Row],[RiskIndex]]&lt;=30,"Low",IF(StudentData[[#This Row],[RiskIndex]]&lt;=60,"Medium","High"))</f>
        <v>Low</v>
      </c>
      <c r="AP368">
        <f>StudentData[[#This Row],[G3]]+('Intervention Simulator'!$C$2*1.5)</f>
        <v>13</v>
      </c>
      <c r="AQ368" t="str">
        <f>IF(StudentData[[#This Row],[ProjectedGrade]]&gt;=10,"Pass","Fail")</f>
        <v>Pass</v>
      </c>
    </row>
    <row r="369" spans="1:43" x14ac:dyDescent="0.3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  <c r="AH369" t="str">
        <f>IF(StudentData[[#This Row],[G3]]&gt;=10,"Pass","Fail")</f>
        <v>Pass</v>
      </c>
      <c r="AI369">
        <f>IF(StudentData[[#This Row],[G3]]&lt;StudentData[[#This Row],[G2]],1,0)</f>
        <v>0</v>
      </c>
      <c r="AJ369">
        <f>IF(StudentData[[#This Row],[failures]]&gt;=2,100,IF(StudentData[[#This Row],[failures]]=1,60,0))</f>
        <v>0</v>
      </c>
      <c r="AK369">
        <f>IF(StudentData[[#This Row],[absences]]&gt;15,80,IF(StudentData[[#This Row],[absences]]&gt;10,50,0))</f>
        <v>0</v>
      </c>
      <c r="AL369">
        <f>IF(StudentData[[#This Row],[studytime]]=1,70,IF(StudentData[[#This Row],[studytime]]=2,40,0))</f>
        <v>40</v>
      </c>
      <c r="AM369">
        <f>IF(StudentData[[#This Row],[GradeDrop]]=1,50,0)</f>
        <v>0</v>
      </c>
      <c r="AN369">
        <f>0.4*StudentData[[#This Row],[FailureScore]]+0.3*StudentData[[#This Row],[AbsenceScore]]+0.2*StudentData[[#This Row],[StudyRisk]]+0.1*StudentData[[#This Row],[TrendRisk]]</f>
        <v>8</v>
      </c>
      <c r="AO369" t="str">
        <f>IF(StudentData[[#This Row],[RiskIndex]]&lt;=30,"Low",IF(StudentData[[#This Row],[RiskIndex]]&lt;=60,"Medium","High"))</f>
        <v>Low</v>
      </c>
      <c r="AP369">
        <f>StudentData[[#This Row],[G3]]+('Intervention Simulator'!$C$2*1.5)</f>
        <v>14</v>
      </c>
      <c r="AQ369" t="str">
        <f>IF(StudentData[[#This Row],[ProjectedGrade]]&gt;=10,"Pass","Fail")</f>
        <v>Pass</v>
      </c>
    </row>
    <row r="370" spans="1:43" x14ac:dyDescent="0.3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  <c r="AH370" t="str">
        <f>IF(StudentData[[#This Row],[G3]]&gt;=10,"Pass","Fail")</f>
        <v>Pass</v>
      </c>
      <c r="AI370">
        <f>IF(StudentData[[#This Row],[G3]]&lt;StudentData[[#This Row],[G2]],1,0)</f>
        <v>0</v>
      </c>
      <c r="AJ370">
        <f>IF(StudentData[[#This Row],[failures]]&gt;=2,100,IF(StudentData[[#This Row],[failures]]=1,60,0))</f>
        <v>0</v>
      </c>
      <c r="AK370">
        <f>IF(StudentData[[#This Row],[absences]]&gt;15,80,IF(StudentData[[#This Row],[absences]]&gt;10,50,0))</f>
        <v>0</v>
      </c>
      <c r="AL370">
        <f>IF(StudentData[[#This Row],[studytime]]=1,70,IF(StudentData[[#This Row],[studytime]]=2,40,0))</f>
        <v>70</v>
      </c>
      <c r="AM370">
        <f>IF(StudentData[[#This Row],[GradeDrop]]=1,50,0)</f>
        <v>0</v>
      </c>
      <c r="AN370">
        <f>0.4*StudentData[[#This Row],[FailureScore]]+0.3*StudentData[[#This Row],[AbsenceScore]]+0.2*StudentData[[#This Row],[StudyRisk]]+0.1*StudentData[[#This Row],[TrendRisk]]</f>
        <v>14</v>
      </c>
      <c r="AO370" t="str">
        <f>IF(StudentData[[#This Row],[RiskIndex]]&lt;=30,"Low",IF(StudentData[[#This Row],[RiskIndex]]&lt;=60,"Medium","High"))</f>
        <v>Low</v>
      </c>
      <c r="AP370">
        <f>StudentData[[#This Row],[G3]]+('Intervention Simulator'!$C$2*1.5)</f>
        <v>11</v>
      </c>
      <c r="AQ370" t="str">
        <f>IF(StudentData[[#This Row],[ProjectedGrade]]&gt;=10,"Pass","Fail")</f>
        <v>Pass</v>
      </c>
    </row>
    <row r="371" spans="1:43" x14ac:dyDescent="0.3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  <c r="AH371" t="str">
        <f>IF(StudentData[[#This Row],[G3]]&gt;=10,"Pass","Fail")</f>
        <v>Pass</v>
      </c>
      <c r="AI371">
        <f>IF(StudentData[[#This Row],[G3]]&lt;StudentData[[#This Row],[G2]],1,0)</f>
        <v>0</v>
      </c>
      <c r="AJ371">
        <f>IF(StudentData[[#This Row],[failures]]&gt;=2,100,IF(StudentData[[#This Row],[failures]]=1,60,0))</f>
        <v>0</v>
      </c>
      <c r="AK371">
        <f>IF(StudentData[[#This Row],[absences]]&gt;15,80,IF(StudentData[[#This Row],[absences]]&gt;10,50,0))</f>
        <v>50</v>
      </c>
      <c r="AL371">
        <f>IF(StudentData[[#This Row],[studytime]]=1,70,IF(StudentData[[#This Row],[studytime]]=2,40,0))</f>
        <v>0</v>
      </c>
      <c r="AM371">
        <f>IF(StudentData[[#This Row],[GradeDrop]]=1,50,0)</f>
        <v>0</v>
      </c>
      <c r="AN371">
        <f>0.4*StudentData[[#This Row],[FailureScore]]+0.3*StudentData[[#This Row],[AbsenceScore]]+0.2*StudentData[[#This Row],[StudyRisk]]+0.1*StudentData[[#This Row],[TrendRisk]]</f>
        <v>15</v>
      </c>
      <c r="AO371" t="str">
        <f>IF(StudentData[[#This Row],[RiskIndex]]&lt;=30,"Low",IF(StudentData[[#This Row],[RiskIndex]]&lt;=60,"Medium","High"))</f>
        <v>Low</v>
      </c>
      <c r="AP371">
        <f>StudentData[[#This Row],[G3]]+('Intervention Simulator'!$C$2*1.5)</f>
        <v>11</v>
      </c>
      <c r="AQ371" t="str">
        <f>IF(StudentData[[#This Row],[ProjectedGrade]]&gt;=10,"Pass","Fail")</f>
        <v>Pass</v>
      </c>
    </row>
    <row r="372" spans="1:43" x14ac:dyDescent="0.3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  <c r="AH372" t="str">
        <f>IF(StudentData[[#This Row],[G3]]&gt;=10,"Pass","Fail")</f>
        <v>Fail</v>
      </c>
      <c r="AI372">
        <f>IF(StudentData[[#This Row],[G3]]&lt;StudentData[[#This Row],[G2]],1,0)</f>
        <v>0</v>
      </c>
      <c r="AJ372">
        <f>IF(StudentData[[#This Row],[failures]]&gt;=2,100,IF(StudentData[[#This Row],[failures]]=1,60,0))</f>
        <v>100</v>
      </c>
      <c r="AK372">
        <f>IF(StudentData[[#This Row],[absences]]&gt;15,80,IF(StudentData[[#This Row],[absences]]&gt;10,50,0))</f>
        <v>0</v>
      </c>
      <c r="AL372">
        <f>IF(StudentData[[#This Row],[studytime]]=1,70,IF(StudentData[[#This Row],[studytime]]=2,40,0))</f>
        <v>40</v>
      </c>
      <c r="AM372">
        <f>IF(StudentData[[#This Row],[GradeDrop]]=1,50,0)</f>
        <v>0</v>
      </c>
      <c r="AN372">
        <f>0.4*StudentData[[#This Row],[FailureScore]]+0.3*StudentData[[#This Row],[AbsenceScore]]+0.2*StudentData[[#This Row],[StudyRisk]]+0.1*StudentData[[#This Row],[TrendRisk]]</f>
        <v>48</v>
      </c>
      <c r="AO372" t="str">
        <f>IF(StudentData[[#This Row],[RiskIndex]]&lt;=30,"Low",IF(StudentData[[#This Row],[RiskIndex]]&lt;=60,"Medium","High"))</f>
        <v>Medium</v>
      </c>
      <c r="AP372">
        <f>StudentData[[#This Row],[G3]]+('Intervention Simulator'!$C$2*1.5)</f>
        <v>9</v>
      </c>
      <c r="AQ372" t="str">
        <f>IF(StudentData[[#This Row],[ProjectedGrade]]&gt;=10,"Pass","Fail")</f>
        <v>Fail</v>
      </c>
    </row>
    <row r="373" spans="1:43" x14ac:dyDescent="0.3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  <c r="AH373" t="str">
        <f>IF(StudentData[[#This Row],[G3]]&gt;=10,"Pass","Fail")</f>
        <v>Pass</v>
      </c>
      <c r="AI373">
        <f>IF(StudentData[[#This Row],[G3]]&lt;StudentData[[#This Row],[G2]],1,0)</f>
        <v>0</v>
      </c>
      <c r="AJ373">
        <f>IF(StudentData[[#This Row],[failures]]&gt;=2,100,IF(StudentData[[#This Row],[failures]]=1,60,0))</f>
        <v>0</v>
      </c>
      <c r="AK373">
        <f>IF(StudentData[[#This Row],[absences]]&gt;15,80,IF(StudentData[[#This Row],[absences]]&gt;10,50,0))</f>
        <v>0</v>
      </c>
      <c r="AL373">
        <f>IF(StudentData[[#This Row],[studytime]]=1,70,IF(StudentData[[#This Row],[studytime]]=2,40,0))</f>
        <v>70</v>
      </c>
      <c r="AM373">
        <f>IF(StudentData[[#This Row],[GradeDrop]]=1,50,0)</f>
        <v>0</v>
      </c>
      <c r="AN373">
        <f>0.4*StudentData[[#This Row],[FailureScore]]+0.3*StudentData[[#This Row],[AbsenceScore]]+0.2*StudentData[[#This Row],[StudyRisk]]+0.1*StudentData[[#This Row],[TrendRisk]]</f>
        <v>14</v>
      </c>
      <c r="AO373" t="str">
        <f>IF(StudentData[[#This Row],[RiskIndex]]&lt;=30,"Low",IF(StudentData[[#This Row],[RiskIndex]]&lt;=60,"Medium","High"))</f>
        <v>Low</v>
      </c>
      <c r="AP373">
        <f>StudentData[[#This Row],[G3]]+('Intervention Simulator'!$C$2*1.5)</f>
        <v>10</v>
      </c>
      <c r="AQ373" t="str">
        <f>IF(StudentData[[#This Row],[ProjectedGrade]]&gt;=10,"Pass","Fail")</f>
        <v>Pass</v>
      </c>
    </row>
    <row r="374" spans="1:43" x14ac:dyDescent="0.3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  <c r="AH374" t="str">
        <f>IF(StudentData[[#This Row],[G3]]&gt;=10,"Pass","Fail")</f>
        <v>Pass</v>
      </c>
      <c r="AI374">
        <f>IF(StudentData[[#This Row],[G3]]&lt;StudentData[[#This Row],[G2]],1,0)</f>
        <v>0</v>
      </c>
      <c r="AJ374">
        <f>IF(StudentData[[#This Row],[failures]]&gt;=2,100,IF(StudentData[[#This Row],[failures]]=1,60,0))</f>
        <v>0</v>
      </c>
      <c r="AK374">
        <f>IF(StudentData[[#This Row],[absences]]&gt;15,80,IF(StudentData[[#This Row],[absences]]&gt;10,50,0))</f>
        <v>0</v>
      </c>
      <c r="AL374">
        <f>IF(StudentData[[#This Row],[studytime]]=1,70,IF(StudentData[[#This Row],[studytime]]=2,40,0))</f>
        <v>40</v>
      </c>
      <c r="AM374">
        <f>IF(StudentData[[#This Row],[GradeDrop]]=1,50,0)</f>
        <v>0</v>
      </c>
      <c r="AN374">
        <f>0.4*StudentData[[#This Row],[FailureScore]]+0.3*StudentData[[#This Row],[AbsenceScore]]+0.2*StudentData[[#This Row],[StudyRisk]]+0.1*StudentData[[#This Row],[TrendRisk]]</f>
        <v>8</v>
      </c>
      <c r="AO374" t="str">
        <f>IF(StudentData[[#This Row],[RiskIndex]]&lt;=30,"Low",IF(StudentData[[#This Row],[RiskIndex]]&lt;=60,"Medium","High"))</f>
        <v>Low</v>
      </c>
      <c r="AP374">
        <f>StudentData[[#This Row],[G3]]+('Intervention Simulator'!$C$2*1.5)</f>
        <v>13</v>
      </c>
      <c r="AQ374" t="str">
        <f>IF(StudentData[[#This Row],[ProjectedGrade]]&gt;=10,"Pass","Fail")</f>
        <v>Pass</v>
      </c>
    </row>
    <row r="375" spans="1:43" x14ac:dyDescent="0.3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  <c r="AH375" t="str">
        <f>IF(StudentData[[#This Row],[G3]]&gt;=10,"Pass","Fail")</f>
        <v>Pass</v>
      </c>
      <c r="AI375">
        <f>IF(StudentData[[#This Row],[G3]]&lt;StudentData[[#This Row],[G2]],1,0)</f>
        <v>1</v>
      </c>
      <c r="AJ375">
        <f>IF(StudentData[[#This Row],[failures]]&gt;=2,100,IF(StudentData[[#This Row],[failures]]=1,60,0))</f>
        <v>0</v>
      </c>
      <c r="AK375">
        <f>IF(StudentData[[#This Row],[absences]]&gt;15,80,IF(StudentData[[#This Row],[absences]]&gt;10,50,0))</f>
        <v>0</v>
      </c>
      <c r="AL375">
        <f>IF(StudentData[[#This Row],[studytime]]=1,70,IF(StudentData[[#This Row],[studytime]]=2,40,0))</f>
        <v>0</v>
      </c>
      <c r="AM375">
        <f>IF(StudentData[[#This Row],[GradeDrop]]=1,50,0)</f>
        <v>50</v>
      </c>
      <c r="AN375">
        <f>0.4*StudentData[[#This Row],[FailureScore]]+0.3*StudentData[[#This Row],[AbsenceScore]]+0.2*StudentData[[#This Row],[StudyRisk]]+0.1*StudentData[[#This Row],[TrendRisk]]</f>
        <v>5</v>
      </c>
      <c r="AO375" t="str">
        <f>IF(StudentData[[#This Row],[RiskIndex]]&lt;=30,"Low",IF(StudentData[[#This Row],[RiskIndex]]&lt;=60,"Medium","High"))</f>
        <v>Low</v>
      </c>
      <c r="AP375">
        <f>StudentData[[#This Row],[G3]]+('Intervention Simulator'!$C$2*1.5)</f>
        <v>10</v>
      </c>
      <c r="AQ375" t="str">
        <f>IF(StudentData[[#This Row],[ProjectedGrade]]&gt;=10,"Pass","Fail")</f>
        <v>Pass</v>
      </c>
    </row>
    <row r="376" spans="1:43" x14ac:dyDescent="0.3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  <c r="AH376" t="str">
        <f>IF(StudentData[[#This Row],[G3]]&gt;=10,"Pass","Fail")</f>
        <v>Pass</v>
      </c>
      <c r="AI376">
        <f>IF(StudentData[[#This Row],[G3]]&lt;StudentData[[#This Row],[G2]],1,0)</f>
        <v>1</v>
      </c>
      <c r="AJ376">
        <f>IF(StudentData[[#This Row],[failures]]&gt;=2,100,IF(StudentData[[#This Row],[failures]]=1,60,0))</f>
        <v>0</v>
      </c>
      <c r="AK376">
        <f>IF(StudentData[[#This Row],[absences]]&gt;15,80,IF(StudentData[[#This Row],[absences]]&gt;10,50,0))</f>
        <v>0</v>
      </c>
      <c r="AL376">
        <f>IF(StudentData[[#This Row],[studytime]]=1,70,IF(StudentData[[#This Row],[studytime]]=2,40,0))</f>
        <v>0</v>
      </c>
      <c r="AM376">
        <f>IF(StudentData[[#This Row],[GradeDrop]]=1,50,0)</f>
        <v>50</v>
      </c>
      <c r="AN376">
        <f>0.4*StudentData[[#This Row],[FailureScore]]+0.3*StudentData[[#This Row],[AbsenceScore]]+0.2*StudentData[[#This Row],[StudyRisk]]+0.1*StudentData[[#This Row],[TrendRisk]]</f>
        <v>5</v>
      </c>
      <c r="AO376" t="str">
        <f>IF(StudentData[[#This Row],[RiskIndex]]&lt;=30,"Low",IF(StudentData[[#This Row],[RiskIndex]]&lt;=60,"Medium","High"))</f>
        <v>Low</v>
      </c>
      <c r="AP376">
        <f>StudentData[[#This Row],[G3]]+('Intervention Simulator'!$C$2*1.5)</f>
        <v>17</v>
      </c>
      <c r="AQ376" t="str">
        <f>IF(StudentData[[#This Row],[ProjectedGrade]]&gt;=10,"Pass","Fail")</f>
        <v>Pass</v>
      </c>
    </row>
    <row r="377" spans="1:43" x14ac:dyDescent="0.3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  <c r="AH377" t="str">
        <f>IF(StudentData[[#This Row],[G3]]&gt;=10,"Pass","Fail")</f>
        <v>Pass</v>
      </c>
      <c r="AI377">
        <f>IF(StudentData[[#This Row],[G3]]&lt;StudentData[[#This Row],[G2]],1,0)</f>
        <v>0</v>
      </c>
      <c r="AJ377">
        <f>IF(StudentData[[#This Row],[failures]]&gt;=2,100,IF(StudentData[[#This Row],[failures]]=1,60,0))</f>
        <v>0</v>
      </c>
      <c r="AK377">
        <f>IF(StudentData[[#This Row],[absences]]&gt;15,80,IF(StudentData[[#This Row],[absences]]&gt;10,50,0))</f>
        <v>0</v>
      </c>
      <c r="AL377">
        <f>IF(StudentData[[#This Row],[studytime]]=1,70,IF(StudentData[[#This Row],[studytime]]=2,40,0))</f>
        <v>0</v>
      </c>
      <c r="AM377">
        <f>IF(StudentData[[#This Row],[GradeDrop]]=1,50,0)</f>
        <v>0</v>
      </c>
      <c r="AN377">
        <f>0.4*StudentData[[#This Row],[FailureScore]]+0.3*StudentData[[#This Row],[AbsenceScore]]+0.2*StudentData[[#This Row],[StudyRisk]]+0.1*StudentData[[#This Row],[TrendRisk]]</f>
        <v>0</v>
      </c>
      <c r="AO377" t="str">
        <f>IF(StudentData[[#This Row],[RiskIndex]]&lt;=30,"Low",IF(StudentData[[#This Row],[RiskIndex]]&lt;=60,"Medium","High"))</f>
        <v>Low</v>
      </c>
      <c r="AP377">
        <f>StudentData[[#This Row],[G3]]+('Intervention Simulator'!$C$2*1.5)</f>
        <v>15</v>
      </c>
      <c r="AQ377" t="str">
        <f>IF(StudentData[[#This Row],[ProjectedGrade]]&gt;=10,"Pass","Fail")</f>
        <v>Pass</v>
      </c>
    </row>
    <row r="378" spans="1:43" x14ac:dyDescent="0.3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  <c r="AH378" t="str">
        <f>IF(StudentData[[#This Row],[G3]]&gt;=10,"Pass","Fail")</f>
        <v>Pass</v>
      </c>
      <c r="AI378">
        <f>IF(StudentData[[#This Row],[G3]]&lt;StudentData[[#This Row],[G2]],1,0)</f>
        <v>0</v>
      </c>
      <c r="AJ378">
        <f>IF(StudentData[[#This Row],[failures]]&gt;=2,100,IF(StudentData[[#This Row],[failures]]=1,60,0))</f>
        <v>0</v>
      </c>
      <c r="AK378">
        <f>IF(StudentData[[#This Row],[absences]]&gt;15,80,IF(StudentData[[#This Row],[absences]]&gt;10,50,0))</f>
        <v>0</v>
      </c>
      <c r="AL378">
        <f>IF(StudentData[[#This Row],[studytime]]=1,70,IF(StudentData[[#This Row],[studytime]]=2,40,0))</f>
        <v>0</v>
      </c>
      <c r="AM378">
        <f>IF(StudentData[[#This Row],[GradeDrop]]=1,50,0)</f>
        <v>0</v>
      </c>
      <c r="AN378">
        <f>0.4*StudentData[[#This Row],[FailureScore]]+0.3*StudentData[[#This Row],[AbsenceScore]]+0.2*StudentData[[#This Row],[StudyRisk]]+0.1*StudentData[[#This Row],[TrendRisk]]</f>
        <v>0</v>
      </c>
      <c r="AO378" t="str">
        <f>IF(StudentData[[#This Row],[RiskIndex]]&lt;=30,"Low",IF(StudentData[[#This Row],[RiskIndex]]&lt;=60,"Medium","High"))</f>
        <v>Low</v>
      </c>
      <c r="AP378">
        <f>StudentData[[#This Row],[G3]]+('Intervention Simulator'!$C$2*1.5)</f>
        <v>14</v>
      </c>
      <c r="AQ378" t="str">
        <f>IF(StudentData[[#This Row],[ProjectedGrade]]&gt;=10,"Pass","Fail")</f>
        <v>Pass</v>
      </c>
    </row>
    <row r="379" spans="1:43" x14ac:dyDescent="0.3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  <c r="AH379" t="str">
        <f>IF(StudentData[[#This Row],[G3]]&gt;=10,"Pass","Fail")</f>
        <v>Pass</v>
      </c>
      <c r="AI379">
        <f>IF(StudentData[[#This Row],[G3]]&lt;StudentData[[#This Row],[G2]],1,0)</f>
        <v>1</v>
      </c>
      <c r="AJ379">
        <f>IF(StudentData[[#This Row],[failures]]&gt;=2,100,IF(StudentData[[#This Row],[failures]]=1,60,0))</f>
        <v>0</v>
      </c>
      <c r="AK379">
        <f>IF(StudentData[[#This Row],[absences]]&gt;15,80,IF(StudentData[[#This Row],[absences]]&gt;10,50,0))</f>
        <v>0</v>
      </c>
      <c r="AL379">
        <f>IF(StudentData[[#This Row],[studytime]]=1,70,IF(StudentData[[#This Row],[studytime]]=2,40,0))</f>
        <v>0</v>
      </c>
      <c r="AM379">
        <f>IF(StudentData[[#This Row],[GradeDrop]]=1,50,0)</f>
        <v>50</v>
      </c>
      <c r="AN379">
        <f>0.4*StudentData[[#This Row],[FailureScore]]+0.3*StudentData[[#This Row],[AbsenceScore]]+0.2*StudentData[[#This Row],[StudyRisk]]+0.1*StudentData[[#This Row],[TrendRisk]]</f>
        <v>5</v>
      </c>
      <c r="AO379" t="str">
        <f>IF(StudentData[[#This Row],[RiskIndex]]&lt;=30,"Low",IF(StudentData[[#This Row],[RiskIndex]]&lt;=60,"Medium","High"))</f>
        <v>Low</v>
      </c>
      <c r="AP379">
        <f>StudentData[[#This Row],[G3]]+('Intervention Simulator'!$C$2*1.5)</f>
        <v>13</v>
      </c>
      <c r="AQ379" t="str">
        <f>IF(StudentData[[#This Row],[ProjectedGrade]]&gt;=10,"Pass","Fail")</f>
        <v>Pass</v>
      </c>
    </row>
    <row r="380" spans="1:43" x14ac:dyDescent="0.3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  <c r="AH380" t="str">
        <f>IF(StudentData[[#This Row],[G3]]&gt;=10,"Pass","Fail")</f>
        <v>Pass</v>
      </c>
      <c r="AI380">
        <f>IF(StudentData[[#This Row],[G3]]&lt;StudentData[[#This Row],[G2]],1,0)</f>
        <v>1</v>
      </c>
      <c r="AJ380">
        <f>IF(StudentData[[#This Row],[failures]]&gt;=2,100,IF(StudentData[[#This Row],[failures]]=1,60,0))</f>
        <v>0</v>
      </c>
      <c r="AK380">
        <f>IF(StudentData[[#This Row],[absences]]&gt;15,80,IF(StudentData[[#This Row],[absences]]&gt;10,50,0))</f>
        <v>0</v>
      </c>
      <c r="AL380">
        <f>IF(StudentData[[#This Row],[studytime]]=1,70,IF(StudentData[[#This Row],[studytime]]=2,40,0))</f>
        <v>70</v>
      </c>
      <c r="AM380">
        <f>IF(StudentData[[#This Row],[GradeDrop]]=1,50,0)</f>
        <v>50</v>
      </c>
      <c r="AN380">
        <f>0.4*StudentData[[#This Row],[FailureScore]]+0.3*StudentData[[#This Row],[AbsenceScore]]+0.2*StudentData[[#This Row],[StudyRisk]]+0.1*StudentData[[#This Row],[TrendRisk]]</f>
        <v>19</v>
      </c>
      <c r="AO380" t="str">
        <f>IF(StudentData[[#This Row],[RiskIndex]]&lt;=30,"Low",IF(StudentData[[#This Row],[RiskIndex]]&lt;=60,"Medium","High"))</f>
        <v>Low</v>
      </c>
      <c r="AP380">
        <f>StudentData[[#This Row],[G3]]+('Intervention Simulator'!$C$2*1.5)</f>
        <v>17</v>
      </c>
      <c r="AQ380" t="str">
        <f>IF(StudentData[[#This Row],[ProjectedGrade]]&gt;=10,"Pass","Fail")</f>
        <v>Pass</v>
      </c>
    </row>
    <row r="381" spans="1:43" x14ac:dyDescent="0.3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  <c r="AH381" t="str">
        <f>IF(StudentData[[#This Row],[G3]]&gt;=10,"Pass","Fail")</f>
        <v>Pass</v>
      </c>
      <c r="AI381">
        <f>IF(StudentData[[#This Row],[G3]]&lt;StudentData[[#This Row],[G2]],1,0)</f>
        <v>0</v>
      </c>
      <c r="AJ381">
        <f>IF(StudentData[[#This Row],[failures]]&gt;=2,100,IF(StudentData[[#This Row],[failures]]=1,60,0))</f>
        <v>0</v>
      </c>
      <c r="AK381">
        <f>IF(StudentData[[#This Row],[absences]]&gt;15,80,IF(StudentData[[#This Row],[absences]]&gt;10,50,0))</f>
        <v>0</v>
      </c>
      <c r="AL381">
        <f>IF(StudentData[[#This Row],[studytime]]=1,70,IF(StudentData[[#This Row],[studytime]]=2,40,0))</f>
        <v>70</v>
      </c>
      <c r="AM381">
        <f>IF(StudentData[[#This Row],[GradeDrop]]=1,50,0)</f>
        <v>0</v>
      </c>
      <c r="AN381">
        <f>0.4*StudentData[[#This Row],[FailureScore]]+0.3*StudentData[[#This Row],[AbsenceScore]]+0.2*StudentData[[#This Row],[StudyRisk]]+0.1*StudentData[[#This Row],[TrendRisk]]</f>
        <v>14</v>
      </c>
      <c r="AO381" t="str">
        <f>IF(StudentData[[#This Row],[RiskIndex]]&lt;=30,"Low",IF(StudentData[[#This Row],[RiskIndex]]&lt;=60,"Medium","High"))</f>
        <v>Low</v>
      </c>
      <c r="AP381">
        <f>StudentData[[#This Row],[G3]]+('Intervention Simulator'!$C$2*1.5)</f>
        <v>10</v>
      </c>
      <c r="AQ381" t="str">
        <f>IF(StudentData[[#This Row],[ProjectedGrade]]&gt;=10,"Pass","Fail")</f>
        <v>Pass</v>
      </c>
    </row>
    <row r="382" spans="1:43" x14ac:dyDescent="0.3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  <c r="AH382" t="str">
        <f>IF(StudentData[[#This Row],[G3]]&gt;=10,"Pass","Fail")</f>
        <v>Pass</v>
      </c>
      <c r="AI382">
        <f>IF(StudentData[[#This Row],[G3]]&lt;StudentData[[#This Row],[G2]],1,0)</f>
        <v>0</v>
      </c>
      <c r="AJ382">
        <f>IF(StudentData[[#This Row],[failures]]&gt;=2,100,IF(StudentData[[#This Row],[failures]]=1,60,0))</f>
        <v>0</v>
      </c>
      <c r="AK382">
        <f>IF(StudentData[[#This Row],[absences]]&gt;15,80,IF(StudentData[[#This Row],[absences]]&gt;10,50,0))</f>
        <v>0</v>
      </c>
      <c r="AL382">
        <f>IF(StudentData[[#This Row],[studytime]]=1,70,IF(StudentData[[#This Row],[studytime]]=2,40,0))</f>
        <v>0</v>
      </c>
      <c r="AM382">
        <f>IF(StudentData[[#This Row],[GradeDrop]]=1,50,0)</f>
        <v>0</v>
      </c>
      <c r="AN382">
        <f>0.4*StudentData[[#This Row],[FailureScore]]+0.3*StudentData[[#This Row],[AbsenceScore]]+0.2*StudentData[[#This Row],[StudyRisk]]+0.1*StudentData[[#This Row],[TrendRisk]]</f>
        <v>0</v>
      </c>
      <c r="AO382" t="str">
        <f>IF(StudentData[[#This Row],[RiskIndex]]&lt;=30,"Low",IF(StudentData[[#This Row],[RiskIndex]]&lt;=60,"Medium","High"))</f>
        <v>Low</v>
      </c>
      <c r="AP382">
        <f>StudentData[[#This Row],[G3]]+('Intervention Simulator'!$C$2*1.5)</f>
        <v>13</v>
      </c>
      <c r="AQ382" t="str">
        <f>IF(StudentData[[#This Row],[ProjectedGrade]]&gt;=10,"Pass","Fail")</f>
        <v>Pass</v>
      </c>
    </row>
    <row r="383" spans="1:43" x14ac:dyDescent="0.3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  <c r="AH383" t="str">
        <f>IF(StudentData[[#This Row],[G3]]&gt;=10,"Pass","Fail")</f>
        <v>Pass</v>
      </c>
      <c r="AI383">
        <f>IF(StudentData[[#This Row],[G3]]&lt;StudentData[[#This Row],[G2]],1,0)</f>
        <v>0</v>
      </c>
      <c r="AJ383">
        <f>IF(StudentData[[#This Row],[failures]]&gt;=2,100,IF(StudentData[[#This Row],[failures]]=1,60,0))</f>
        <v>0</v>
      </c>
      <c r="AK383">
        <f>IF(StudentData[[#This Row],[absences]]&gt;15,80,IF(StudentData[[#This Row],[absences]]&gt;10,50,0))</f>
        <v>0</v>
      </c>
      <c r="AL383">
        <f>IF(StudentData[[#This Row],[studytime]]=1,70,IF(StudentData[[#This Row],[studytime]]=2,40,0))</f>
        <v>0</v>
      </c>
      <c r="AM383">
        <f>IF(StudentData[[#This Row],[GradeDrop]]=1,50,0)</f>
        <v>0</v>
      </c>
      <c r="AN383">
        <f>0.4*StudentData[[#This Row],[FailureScore]]+0.3*StudentData[[#This Row],[AbsenceScore]]+0.2*StudentData[[#This Row],[StudyRisk]]+0.1*StudentData[[#This Row],[TrendRisk]]</f>
        <v>0</v>
      </c>
      <c r="AO383" t="str">
        <f>IF(StudentData[[#This Row],[RiskIndex]]&lt;=30,"Low",IF(StudentData[[#This Row],[RiskIndex]]&lt;=60,"Medium","High"))</f>
        <v>Low</v>
      </c>
      <c r="AP383">
        <f>StudentData[[#This Row],[G3]]+('Intervention Simulator'!$C$2*1.5)</f>
        <v>15</v>
      </c>
      <c r="AQ383" t="str">
        <f>IF(StudentData[[#This Row],[ProjectedGrade]]&gt;=10,"Pass","Fail")</f>
        <v>Pass</v>
      </c>
    </row>
    <row r="384" spans="1:43" x14ac:dyDescent="0.3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  <c r="AH384" t="str">
        <f>IF(StudentData[[#This Row],[G3]]&gt;=10,"Pass","Fail")</f>
        <v>Pass</v>
      </c>
      <c r="AI384">
        <f>IF(StudentData[[#This Row],[G3]]&lt;StudentData[[#This Row],[G2]],1,0)</f>
        <v>1</v>
      </c>
      <c r="AJ384">
        <f>IF(StudentData[[#This Row],[failures]]&gt;=2,100,IF(StudentData[[#This Row],[failures]]=1,60,0))</f>
        <v>0</v>
      </c>
      <c r="AK384">
        <f>IF(StudentData[[#This Row],[absences]]&gt;15,80,IF(StudentData[[#This Row],[absences]]&gt;10,50,0))</f>
        <v>0</v>
      </c>
      <c r="AL384">
        <f>IF(StudentData[[#This Row],[studytime]]=1,70,IF(StudentData[[#This Row],[studytime]]=2,40,0))</f>
        <v>70</v>
      </c>
      <c r="AM384">
        <f>IF(StudentData[[#This Row],[GradeDrop]]=1,50,0)</f>
        <v>50</v>
      </c>
      <c r="AN384">
        <f>0.4*StudentData[[#This Row],[FailureScore]]+0.3*StudentData[[#This Row],[AbsenceScore]]+0.2*StudentData[[#This Row],[StudyRisk]]+0.1*StudentData[[#This Row],[TrendRisk]]</f>
        <v>19</v>
      </c>
      <c r="AO384" t="str">
        <f>IF(StudentData[[#This Row],[RiskIndex]]&lt;=30,"Low",IF(StudentData[[#This Row],[RiskIndex]]&lt;=60,"Medium","High"))</f>
        <v>Low</v>
      </c>
      <c r="AP384">
        <f>StudentData[[#This Row],[G3]]+('Intervention Simulator'!$C$2*1.5)</f>
        <v>11</v>
      </c>
      <c r="AQ384" t="str">
        <f>IF(StudentData[[#This Row],[ProjectedGrade]]&gt;=10,"Pass","Fail")</f>
        <v>Pass</v>
      </c>
    </row>
    <row r="385" spans="1:43" x14ac:dyDescent="0.3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  <c r="AH385" t="str">
        <f>IF(StudentData[[#This Row],[G3]]&gt;=10,"Pass","Fail")</f>
        <v>Pass</v>
      </c>
      <c r="AI385">
        <f>IF(StudentData[[#This Row],[G3]]&lt;StudentData[[#This Row],[G2]],1,0)</f>
        <v>0</v>
      </c>
      <c r="AJ385">
        <f>IF(StudentData[[#This Row],[failures]]&gt;=2,100,IF(StudentData[[#This Row],[failures]]=1,60,0))</f>
        <v>0</v>
      </c>
      <c r="AK385">
        <f>IF(StudentData[[#This Row],[absences]]&gt;15,80,IF(StudentData[[#This Row],[absences]]&gt;10,50,0))</f>
        <v>0</v>
      </c>
      <c r="AL385">
        <f>IF(StudentData[[#This Row],[studytime]]=1,70,IF(StudentData[[#This Row],[studytime]]=2,40,0))</f>
        <v>0</v>
      </c>
      <c r="AM385">
        <f>IF(StudentData[[#This Row],[GradeDrop]]=1,50,0)</f>
        <v>0</v>
      </c>
      <c r="AN385">
        <f>0.4*StudentData[[#This Row],[FailureScore]]+0.3*StudentData[[#This Row],[AbsenceScore]]+0.2*StudentData[[#This Row],[StudyRisk]]+0.1*StudentData[[#This Row],[TrendRisk]]</f>
        <v>0</v>
      </c>
      <c r="AO385" t="str">
        <f>IF(StudentData[[#This Row],[RiskIndex]]&lt;=30,"Low",IF(StudentData[[#This Row],[RiskIndex]]&lt;=60,"Medium","High"))</f>
        <v>Low</v>
      </c>
      <c r="AP385">
        <f>StudentData[[#This Row],[G3]]+('Intervention Simulator'!$C$2*1.5)</f>
        <v>12</v>
      </c>
      <c r="AQ385" t="str">
        <f>IF(StudentData[[#This Row],[ProjectedGrade]]&gt;=10,"Pass","Fail")</f>
        <v>Pass</v>
      </c>
    </row>
    <row r="386" spans="1:43" x14ac:dyDescent="0.3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  <c r="AH386" t="str">
        <f>IF(StudentData[[#This Row],[G3]]&gt;=10,"Pass","Fail")</f>
        <v>Pass</v>
      </c>
      <c r="AI386">
        <f>IF(StudentData[[#This Row],[G3]]&lt;StudentData[[#This Row],[G2]],1,0)</f>
        <v>0</v>
      </c>
      <c r="AJ386">
        <f>IF(StudentData[[#This Row],[failures]]&gt;=2,100,IF(StudentData[[#This Row],[failures]]=1,60,0))</f>
        <v>0</v>
      </c>
      <c r="AK386">
        <f>IF(StudentData[[#This Row],[absences]]&gt;15,80,IF(StudentData[[#This Row],[absences]]&gt;10,50,0))</f>
        <v>0</v>
      </c>
      <c r="AL386">
        <f>IF(StudentData[[#This Row],[studytime]]=1,70,IF(StudentData[[#This Row],[studytime]]=2,40,0))</f>
        <v>70</v>
      </c>
      <c r="AM386">
        <f>IF(StudentData[[#This Row],[GradeDrop]]=1,50,0)</f>
        <v>0</v>
      </c>
      <c r="AN386">
        <f>0.4*StudentData[[#This Row],[FailureScore]]+0.3*StudentData[[#This Row],[AbsenceScore]]+0.2*StudentData[[#This Row],[StudyRisk]]+0.1*StudentData[[#This Row],[TrendRisk]]</f>
        <v>14</v>
      </c>
      <c r="AO386" t="str">
        <f>IF(StudentData[[#This Row],[RiskIndex]]&lt;=30,"Low",IF(StudentData[[#This Row],[RiskIndex]]&lt;=60,"Medium","High"))</f>
        <v>Low</v>
      </c>
      <c r="AP386">
        <f>StudentData[[#This Row],[G3]]+('Intervention Simulator'!$C$2*1.5)</f>
        <v>10</v>
      </c>
      <c r="AQ386" t="str">
        <f>IF(StudentData[[#This Row],[ProjectedGrade]]&gt;=10,"Pass","Fail")</f>
        <v>Pass</v>
      </c>
    </row>
    <row r="387" spans="1:43" x14ac:dyDescent="0.3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  <c r="AH387" t="str">
        <f>IF(StudentData[[#This Row],[G3]]&gt;=10,"Pass","Fail")</f>
        <v>Pass</v>
      </c>
      <c r="AI387">
        <f>IF(StudentData[[#This Row],[G3]]&lt;StudentData[[#This Row],[G2]],1,0)</f>
        <v>0</v>
      </c>
      <c r="AJ387">
        <f>IF(StudentData[[#This Row],[failures]]&gt;=2,100,IF(StudentData[[#This Row],[failures]]=1,60,0))</f>
        <v>0</v>
      </c>
      <c r="AK387">
        <f>IF(StudentData[[#This Row],[absences]]&gt;15,80,IF(StudentData[[#This Row],[absences]]&gt;10,50,0))</f>
        <v>0</v>
      </c>
      <c r="AL387">
        <f>IF(StudentData[[#This Row],[studytime]]=1,70,IF(StudentData[[#This Row],[studytime]]=2,40,0))</f>
        <v>40</v>
      </c>
      <c r="AM387">
        <f>IF(StudentData[[#This Row],[GradeDrop]]=1,50,0)</f>
        <v>0</v>
      </c>
      <c r="AN387">
        <f>0.4*StudentData[[#This Row],[FailureScore]]+0.3*StudentData[[#This Row],[AbsenceScore]]+0.2*StudentData[[#This Row],[StudyRisk]]+0.1*StudentData[[#This Row],[TrendRisk]]</f>
        <v>8</v>
      </c>
      <c r="AO387" t="str">
        <f>IF(StudentData[[#This Row],[RiskIndex]]&lt;=30,"Low",IF(StudentData[[#This Row],[RiskIndex]]&lt;=60,"Medium","High"))</f>
        <v>Low</v>
      </c>
      <c r="AP387">
        <f>StudentData[[#This Row],[G3]]+('Intervention Simulator'!$C$2*1.5)</f>
        <v>10</v>
      </c>
      <c r="AQ387" t="str">
        <f>IF(StudentData[[#This Row],[ProjectedGrade]]&gt;=10,"Pass","Fail")</f>
        <v>Pass</v>
      </c>
    </row>
    <row r="388" spans="1:43" x14ac:dyDescent="0.3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  <c r="AH388" t="str">
        <f>IF(StudentData[[#This Row],[G3]]&gt;=10,"Pass","Fail")</f>
        <v>Pass</v>
      </c>
      <c r="AI388">
        <f>IF(StudentData[[#This Row],[G3]]&lt;StudentData[[#This Row],[G2]],1,0)</f>
        <v>0</v>
      </c>
      <c r="AJ388">
        <f>IF(StudentData[[#This Row],[failures]]&gt;=2,100,IF(StudentData[[#This Row],[failures]]=1,60,0))</f>
        <v>0</v>
      </c>
      <c r="AK388">
        <f>IF(StudentData[[#This Row],[absences]]&gt;15,80,IF(StudentData[[#This Row],[absences]]&gt;10,50,0))</f>
        <v>0</v>
      </c>
      <c r="AL388">
        <f>IF(StudentData[[#This Row],[studytime]]=1,70,IF(StudentData[[#This Row],[studytime]]=2,40,0))</f>
        <v>0</v>
      </c>
      <c r="AM388">
        <f>IF(StudentData[[#This Row],[GradeDrop]]=1,50,0)</f>
        <v>0</v>
      </c>
      <c r="AN388">
        <f>0.4*StudentData[[#This Row],[FailureScore]]+0.3*StudentData[[#This Row],[AbsenceScore]]+0.2*StudentData[[#This Row],[StudyRisk]]+0.1*StudentData[[#This Row],[TrendRisk]]</f>
        <v>0</v>
      </c>
      <c r="AO388" t="str">
        <f>IF(StudentData[[#This Row],[RiskIndex]]&lt;=30,"Low",IF(StudentData[[#This Row],[RiskIndex]]&lt;=60,"Medium","High"))</f>
        <v>Low</v>
      </c>
      <c r="AP388">
        <f>StudentData[[#This Row],[G3]]+('Intervention Simulator'!$C$2*1.5)</f>
        <v>15</v>
      </c>
      <c r="AQ388" t="str">
        <f>IF(StudentData[[#This Row],[ProjectedGrade]]&gt;=10,"Pass","Fail")</f>
        <v>Pass</v>
      </c>
    </row>
    <row r="389" spans="1:43" x14ac:dyDescent="0.3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  <c r="AH389" t="str">
        <f>IF(StudentData[[#This Row],[G3]]&gt;=10,"Pass","Fail")</f>
        <v>Pass</v>
      </c>
      <c r="AI389">
        <f>IF(StudentData[[#This Row],[G3]]&lt;StudentData[[#This Row],[G2]],1,0)</f>
        <v>0</v>
      </c>
      <c r="AJ389">
        <f>IF(StudentData[[#This Row],[failures]]&gt;=2,100,IF(StudentData[[#This Row],[failures]]=1,60,0))</f>
        <v>0</v>
      </c>
      <c r="AK389">
        <f>IF(StudentData[[#This Row],[absences]]&gt;15,80,IF(StudentData[[#This Row],[absences]]&gt;10,50,0))</f>
        <v>0</v>
      </c>
      <c r="AL389">
        <f>IF(StudentData[[#This Row],[studytime]]=1,70,IF(StudentData[[#This Row],[studytime]]=2,40,0))</f>
        <v>70</v>
      </c>
      <c r="AM389">
        <f>IF(StudentData[[#This Row],[GradeDrop]]=1,50,0)</f>
        <v>0</v>
      </c>
      <c r="AN389">
        <f>0.4*StudentData[[#This Row],[FailureScore]]+0.3*StudentData[[#This Row],[AbsenceScore]]+0.2*StudentData[[#This Row],[StudyRisk]]+0.1*StudentData[[#This Row],[TrendRisk]]</f>
        <v>14</v>
      </c>
      <c r="AO389" t="str">
        <f>IF(StudentData[[#This Row],[RiskIndex]]&lt;=30,"Low",IF(StudentData[[#This Row],[RiskIndex]]&lt;=60,"Medium","High"))</f>
        <v>Low</v>
      </c>
      <c r="AP389">
        <f>StudentData[[#This Row],[G3]]+('Intervention Simulator'!$C$2*1.5)</f>
        <v>15</v>
      </c>
      <c r="AQ389" t="str">
        <f>IF(StudentData[[#This Row],[ProjectedGrade]]&gt;=10,"Pass","Fail")</f>
        <v>Pass</v>
      </c>
    </row>
    <row r="390" spans="1:43" x14ac:dyDescent="0.3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  <c r="AH390" t="str">
        <f>IF(StudentData[[#This Row],[G3]]&gt;=10,"Pass","Fail")</f>
        <v>Pass</v>
      </c>
      <c r="AI390">
        <f>IF(StudentData[[#This Row],[G3]]&lt;StudentData[[#This Row],[G2]],1,0)</f>
        <v>0</v>
      </c>
      <c r="AJ390">
        <f>IF(StudentData[[#This Row],[failures]]&gt;=2,100,IF(StudentData[[#This Row],[failures]]=1,60,0))</f>
        <v>0</v>
      </c>
      <c r="AK390">
        <f>IF(StudentData[[#This Row],[absences]]&gt;15,80,IF(StudentData[[#This Row],[absences]]&gt;10,50,0))</f>
        <v>0</v>
      </c>
      <c r="AL390">
        <f>IF(StudentData[[#This Row],[studytime]]=1,70,IF(StudentData[[#This Row],[studytime]]=2,40,0))</f>
        <v>40</v>
      </c>
      <c r="AM390">
        <f>IF(StudentData[[#This Row],[GradeDrop]]=1,50,0)</f>
        <v>0</v>
      </c>
      <c r="AN390">
        <f>0.4*StudentData[[#This Row],[FailureScore]]+0.3*StudentData[[#This Row],[AbsenceScore]]+0.2*StudentData[[#This Row],[StudyRisk]]+0.1*StudentData[[#This Row],[TrendRisk]]</f>
        <v>8</v>
      </c>
      <c r="AO390" t="str">
        <f>IF(StudentData[[#This Row],[RiskIndex]]&lt;=30,"Low",IF(StudentData[[#This Row],[RiskIndex]]&lt;=60,"Medium","High"))</f>
        <v>Low</v>
      </c>
      <c r="AP390">
        <f>StudentData[[#This Row],[G3]]+('Intervention Simulator'!$C$2*1.5)</f>
        <v>12</v>
      </c>
      <c r="AQ390" t="str">
        <f>IF(StudentData[[#This Row],[ProjectedGrade]]&gt;=10,"Pass","Fail")</f>
        <v>Pass</v>
      </c>
    </row>
    <row r="391" spans="1:43" x14ac:dyDescent="0.3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  <c r="AH391" t="str">
        <f>IF(StudentData[[#This Row],[G3]]&gt;=10,"Pass","Fail")</f>
        <v>Pass</v>
      </c>
      <c r="AI391">
        <f>IF(StudentData[[#This Row],[G3]]&lt;StudentData[[#This Row],[G2]],1,0)</f>
        <v>0</v>
      </c>
      <c r="AJ391">
        <f>IF(StudentData[[#This Row],[failures]]&gt;=2,100,IF(StudentData[[#This Row],[failures]]=1,60,0))</f>
        <v>0</v>
      </c>
      <c r="AK391">
        <f>IF(StudentData[[#This Row],[absences]]&gt;15,80,IF(StudentData[[#This Row],[absences]]&gt;10,50,0))</f>
        <v>0</v>
      </c>
      <c r="AL391">
        <f>IF(StudentData[[#This Row],[studytime]]=1,70,IF(StudentData[[#This Row],[studytime]]=2,40,0))</f>
        <v>40</v>
      </c>
      <c r="AM391">
        <f>IF(StudentData[[#This Row],[GradeDrop]]=1,50,0)</f>
        <v>0</v>
      </c>
      <c r="AN391">
        <f>0.4*StudentData[[#This Row],[FailureScore]]+0.3*StudentData[[#This Row],[AbsenceScore]]+0.2*StudentData[[#This Row],[StudyRisk]]+0.1*StudentData[[#This Row],[TrendRisk]]</f>
        <v>8</v>
      </c>
      <c r="AO391" t="str">
        <f>IF(StudentData[[#This Row],[RiskIndex]]&lt;=30,"Low",IF(StudentData[[#This Row],[RiskIndex]]&lt;=60,"Medium","High"))</f>
        <v>Low</v>
      </c>
      <c r="AP391">
        <f>StudentData[[#This Row],[G3]]+('Intervention Simulator'!$C$2*1.5)</f>
        <v>12</v>
      </c>
      <c r="AQ391" t="str">
        <f>IF(StudentData[[#This Row],[ProjectedGrade]]&gt;=10,"Pass","Fail")</f>
        <v>Pass</v>
      </c>
    </row>
    <row r="392" spans="1:43" x14ac:dyDescent="0.3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  <c r="AH392" t="str">
        <f>IF(StudentData[[#This Row],[G3]]&gt;=10,"Pass","Fail")</f>
        <v>Pass</v>
      </c>
      <c r="AI392">
        <f>IF(StudentData[[#This Row],[G3]]&lt;StudentData[[#This Row],[G2]],1,0)</f>
        <v>0</v>
      </c>
      <c r="AJ392">
        <f>IF(StudentData[[#This Row],[failures]]&gt;=2,100,IF(StudentData[[#This Row],[failures]]=1,60,0))</f>
        <v>0</v>
      </c>
      <c r="AK392">
        <f>IF(StudentData[[#This Row],[absences]]&gt;15,80,IF(StudentData[[#This Row],[absences]]&gt;10,50,0))</f>
        <v>0</v>
      </c>
      <c r="AL392">
        <f>IF(StudentData[[#This Row],[studytime]]=1,70,IF(StudentData[[#This Row],[studytime]]=2,40,0))</f>
        <v>0</v>
      </c>
      <c r="AM392">
        <f>IF(StudentData[[#This Row],[GradeDrop]]=1,50,0)</f>
        <v>0</v>
      </c>
      <c r="AN392">
        <f>0.4*StudentData[[#This Row],[FailureScore]]+0.3*StudentData[[#This Row],[AbsenceScore]]+0.2*StudentData[[#This Row],[StudyRisk]]+0.1*StudentData[[#This Row],[TrendRisk]]</f>
        <v>0</v>
      </c>
      <c r="AO392" t="str">
        <f>IF(StudentData[[#This Row],[RiskIndex]]&lt;=30,"Low",IF(StudentData[[#This Row],[RiskIndex]]&lt;=60,"Medium","High"))</f>
        <v>Low</v>
      </c>
      <c r="AP392">
        <f>StudentData[[#This Row],[G3]]+('Intervention Simulator'!$C$2*1.5)</f>
        <v>14</v>
      </c>
      <c r="AQ392" t="str">
        <f>IF(StudentData[[#This Row],[ProjectedGrade]]&gt;=10,"Pass","Fail")</f>
        <v>Pass</v>
      </c>
    </row>
    <row r="393" spans="1:43" x14ac:dyDescent="0.3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  <c r="AH393" t="str">
        <f>IF(StudentData[[#This Row],[G3]]&gt;=10,"Pass","Fail")</f>
        <v>Pass</v>
      </c>
      <c r="AI393">
        <f>IF(StudentData[[#This Row],[G3]]&lt;StudentData[[#This Row],[G2]],1,0)</f>
        <v>0</v>
      </c>
      <c r="AJ393">
        <f>IF(StudentData[[#This Row],[failures]]&gt;=2,100,IF(StudentData[[#This Row],[failures]]=1,60,0))</f>
        <v>0</v>
      </c>
      <c r="AK393">
        <f>IF(StudentData[[#This Row],[absences]]&gt;15,80,IF(StudentData[[#This Row],[absences]]&gt;10,50,0))</f>
        <v>0</v>
      </c>
      <c r="AL393">
        <f>IF(StudentData[[#This Row],[studytime]]=1,70,IF(StudentData[[#This Row],[studytime]]=2,40,0))</f>
        <v>0</v>
      </c>
      <c r="AM393">
        <f>IF(StudentData[[#This Row],[GradeDrop]]=1,50,0)</f>
        <v>0</v>
      </c>
      <c r="AN393">
        <f>0.4*StudentData[[#This Row],[FailureScore]]+0.3*StudentData[[#This Row],[AbsenceScore]]+0.2*StudentData[[#This Row],[StudyRisk]]+0.1*StudentData[[#This Row],[TrendRisk]]</f>
        <v>0</v>
      </c>
      <c r="AO393" t="str">
        <f>IF(StudentData[[#This Row],[RiskIndex]]&lt;=30,"Low",IF(StudentData[[#This Row],[RiskIndex]]&lt;=60,"Medium","High"))</f>
        <v>Low</v>
      </c>
      <c r="AP393">
        <f>StudentData[[#This Row],[G3]]+('Intervention Simulator'!$C$2*1.5)</f>
        <v>14</v>
      </c>
      <c r="AQ393" t="str">
        <f>IF(StudentData[[#This Row],[ProjectedGrade]]&gt;=10,"Pass","Fail")</f>
        <v>Pass</v>
      </c>
    </row>
    <row r="394" spans="1:43" x14ac:dyDescent="0.3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  <c r="AH394" t="str">
        <f>IF(StudentData[[#This Row],[G3]]&gt;=10,"Pass","Fail")</f>
        <v>Pass</v>
      </c>
      <c r="AI394">
        <f>IF(StudentData[[#This Row],[G3]]&lt;StudentData[[#This Row],[G2]],1,0)</f>
        <v>0</v>
      </c>
      <c r="AJ394">
        <f>IF(StudentData[[#This Row],[failures]]&gt;=2,100,IF(StudentData[[#This Row],[failures]]=1,60,0))</f>
        <v>0</v>
      </c>
      <c r="AK394">
        <f>IF(StudentData[[#This Row],[absences]]&gt;15,80,IF(StudentData[[#This Row],[absences]]&gt;10,50,0))</f>
        <v>0</v>
      </c>
      <c r="AL394">
        <f>IF(StudentData[[#This Row],[studytime]]=1,70,IF(StudentData[[#This Row],[studytime]]=2,40,0))</f>
        <v>40</v>
      </c>
      <c r="AM394">
        <f>IF(StudentData[[#This Row],[GradeDrop]]=1,50,0)</f>
        <v>0</v>
      </c>
      <c r="AN394">
        <f>0.4*StudentData[[#This Row],[FailureScore]]+0.3*StudentData[[#This Row],[AbsenceScore]]+0.2*StudentData[[#This Row],[StudyRisk]]+0.1*StudentData[[#This Row],[TrendRisk]]</f>
        <v>8</v>
      </c>
      <c r="AO394" t="str">
        <f>IF(StudentData[[#This Row],[RiskIndex]]&lt;=30,"Low",IF(StudentData[[#This Row],[RiskIndex]]&lt;=60,"Medium","High"))</f>
        <v>Low</v>
      </c>
      <c r="AP394">
        <f>StudentData[[#This Row],[G3]]+('Intervention Simulator'!$C$2*1.5)</f>
        <v>15</v>
      </c>
      <c r="AQ394" t="str">
        <f>IF(StudentData[[#This Row],[ProjectedGrade]]&gt;=10,"Pass","Fail")</f>
        <v>Pass</v>
      </c>
    </row>
    <row r="395" spans="1:43" x14ac:dyDescent="0.3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  <c r="AH395" t="str">
        <f>IF(StudentData[[#This Row],[G3]]&gt;=10,"Pass","Fail")</f>
        <v>Pass</v>
      </c>
      <c r="AI395">
        <f>IF(StudentData[[#This Row],[G3]]&lt;StudentData[[#This Row],[G2]],1,0)</f>
        <v>0</v>
      </c>
      <c r="AJ395">
        <f>IF(StudentData[[#This Row],[failures]]&gt;=2,100,IF(StudentData[[#This Row],[failures]]=1,60,0))</f>
        <v>0</v>
      </c>
      <c r="AK395">
        <f>IF(StudentData[[#This Row],[absences]]&gt;15,80,IF(StudentData[[#This Row],[absences]]&gt;10,50,0))</f>
        <v>0</v>
      </c>
      <c r="AL395">
        <f>IF(StudentData[[#This Row],[studytime]]=1,70,IF(StudentData[[#This Row],[studytime]]=2,40,0))</f>
        <v>0</v>
      </c>
      <c r="AM395">
        <f>IF(StudentData[[#This Row],[GradeDrop]]=1,50,0)</f>
        <v>0</v>
      </c>
      <c r="AN395">
        <f>0.4*StudentData[[#This Row],[FailureScore]]+0.3*StudentData[[#This Row],[AbsenceScore]]+0.2*StudentData[[#This Row],[StudyRisk]]+0.1*StudentData[[#This Row],[TrendRisk]]</f>
        <v>0</v>
      </c>
      <c r="AO395" t="str">
        <f>IF(StudentData[[#This Row],[RiskIndex]]&lt;=30,"Low",IF(StudentData[[#This Row],[RiskIndex]]&lt;=60,"Medium","High"))</f>
        <v>Low</v>
      </c>
      <c r="AP395">
        <f>StudentData[[#This Row],[G3]]+('Intervention Simulator'!$C$2*1.5)</f>
        <v>15</v>
      </c>
      <c r="AQ395" t="str">
        <f>IF(StudentData[[#This Row],[ProjectedGrade]]&gt;=10,"Pass","Fail")</f>
        <v>Pass</v>
      </c>
    </row>
    <row r="396" spans="1:43" x14ac:dyDescent="0.3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  <c r="AH396" t="str">
        <f>IF(StudentData[[#This Row],[G3]]&gt;=10,"Pass","Fail")</f>
        <v>Pass</v>
      </c>
      <c r="AI396">
        <f>IF(StudentData[[#This Row],[G3]]&lt;StudentData[[#This Row],[G2]],1,0)</f>
        <v>0</v>
      </c>
      <c r="AJ396">
        <f>IF(StudentData[[#This Row],[failures]]&gt;=2,100,IF(StudentData[[#This Row],[failures]]=1,60,0))</f>
        <v>0</v>
      </c>
      <c r="AK396">
        <f>IF(StudentData[[#This Row],[absences]]&gt;15,80,IF(StudentData[[#This Row],[absences]]&gt;10,50,0))</f>
        <v>0</v>
      </c>
      <c r="AL396">
        <f>IF(StudentData[[#This Row],[studytime]]=1,70,IF(StudentData[[#This Row],[studytime]]=2,40,0))</f>
        <v>40</v>
      </c>
      <c r="AM396">
        <f>IF(StudentData[[#This Row],[GradeDrop]]=1,50,0)</f>
        <v>0</v>
      </c>
      <c r="AN396">
        <f>0.4*StudentData[[#This Row],[FailureScore]]+0.3*StudentData[[#This Row],[AbsenceScore]]+0.2*StudentData[[#This Row],[StudyRisk]]+0.1*StudentData[[#This Row],[TrendRisk]]</f>
        <v>8</v>
      </c>
      <c r="AO396" t="str">
        <f>IF(StudentData[[#This Row],[RiskIndex]]&lt;=30,"Low",IF(StudentData[[#This Row],[RiskIndex]]&lt;=60,"Medium","High"))</f>
        <v>Low</v>
      </c>
      <c r="AP396">
        <f>StudentData[[#This Row],[G3]]+('Intervention Simulator'!$C$2*1.5)</f>
        <v>16</v>
      </c>
      <c r="AQ396" t="str">
        <f>IF(StudentData[[#This Row],[ProjectedGrade]]&gt;=10,"Pass","Fail")</f>
        <v>Pass</v>
      </c>
    </row>
    <row r="397" spans="1:43" x14ac:dyDescent="0.3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  <c r="AH397" t="str">
        <f>IF(StudentData[[#This Row],[G3]]&gt;=10,"Pass","Fail")</f>
        <v>Pass</v>
      </c>
      <c r="AI397">
        <f>IF(StudentData[[#This Row],[G3]]&lt;StudentData[[#This Row],[G2]],1,0)</f>
        <v>0</v>
      </c>
      <c r="AJ397">
        <f>IF(StudentData[[#This Row],[failures]]&gt;=2,100,IF(StudentData[[#This Row],[failures]]=1,60,0))</f>
        <v>0</v>
      </c>
      <c r="AK397">
        <f>IF(StudentData[[#This Row],[absences]]&gt;15,80,IF(StudentData[[#This Row],[absences]]&gt;10,50,0))</f>
        <v>0</v>
      </c>
      <c r="AL397">
        <f>IF(StudentData[[#This Row],[studytime]]=1,70,IF(StudentData[[#This Row],[studytime]]=2,40,0))</f>
        <v>40</v>
      </c>
      <c r="AM397">
        <f>IF(StudentData[[#This Row],[GradeDrop]]=1,50,0)</f>
        <v>0</v>
      </c>
      <c r="AN397">
        <f>0.4*StudentData[[#This Row],[FailureScore]]+0.3*StudentData[[#This Row],[AbsenceScore]]+0.2*StudentData[[#This Row],[StudyRisk]]+0.1*StudentData[[#This Row],[TrendRisk]]</f>
        <v>8</v>
      </c>
      <c r="AO397" t="str">
        <f>IF(StudentData[[#This Row],[RiskIndex]]&lt;=30,"Low",IF(StudentData[[#This Row],[RiskIndex]]&lt;=60,"Medium","High"))</f>
        <v>Low</v>
      </c>
      <c r="AP397">
        <f>StudentData[[#This Row],[G3]]+('Intervention Simulator'!$C$2*1.5)</f>
        <v>13</v>
      </c>
      <c r="AQ397" t="str">
        <f>IF(StudentData[[#This Row],[ProjectedGrade]]&gt;=10,"Pass","Fail")</f>
        <v>Pass</v>
      </c>
    </row>
    <row r="398" spans="1:43" x14ac:dyDescent="0.3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  <c r="AH398" t="str">
        <f>IF(StudentData[[#This Row],[G3]]&gt;=10,"Pass","Fail")</f>
        <v>Pass</v>
      </c>
      <c r="AI398">
        <f>IF(StudentData[[#This Row],[G3]]&lt;StudentData[[#This Row],[G2]],1,0)</f>
        <v>0</v>
      </c>
      <c r="AJ398">
        <f>IF(StudentData[[#This Row],[failures]]&gt;=2,100,IF(StudentData[[#This Row],[failures]]=1,60,0))</f>
        <v>0</v>
      </c>
      <c r="AK398">
        <f>IF(StudentData[[#This Row],[absences]]&gt;15,80,IF(StudentData[[#This Row],[absences]]&gt;10,50,0))</f>
        <v>0</v>
      </c>
      <c r="AL398">
        <f>IF(StudentData[[#This Row],[studytime]]=1,70,IF(StudentData[[#This Row],[studytime]]=2,40,0))</f>
        <v>40</v>
      </c>
      <c r="AM398">
        <f>IF(StudentData[[#This Row],[GradeDrop]]=1,50,0)</f>
        <v>0</v>
      </c>
      <c r="AN398">
        <f>0.4*StudentData[[#This Row],[FailureScore]]+0.3*StudentData[[#This Row],[AbsenceScore]]+0.2*StudentData[[#This Row],[StudyRisk]]+0.1*StudentData[[#This Row],[TrendRisk]]</f>
        <v>8</v>
      </c>
      <c r="AO398" t="str">
        <f>IF(StudentData[[#This Row],[RiskIndex]]&lt;=30,"Low",IF(StudentData[[#This Row],[RiskIndex]]&lt;=60,"Medium","High"))</f>
        <v>Low</v>
      </c>
      <c r="AP398">
        <f>StudentData[[#This Row],[G3]]+('Intervention Simulator'!$C$2*1.5)</f>
        <v>17</v>
      </c>
      <c r="AQ398" t="str">
        <f>IF(StudentData[[#This Row],[ProjectedGrade]]&gt;=10,"Pass","Fail")</f>
        <v>Pass</v>
      </c>
    </row>
    <row r="399" spans="1:43" x14ac:dyDescent="0.3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  <c r="AH399" t="str">
        <f>IF(StudentData[[#This Row],[G3]]&gt;=10,"Pass","Fail")</f>
        <v>Pass</v>
      </c>
      <c r="AI399">
        <f>IF(StudentData[[#This Row],[G3]]&lt;StudentData[[#This Row],[G2]],1,0)</f>
        <v>0</v>
      </c>
      <c r="AJ399">
        <f>IF(StudentData[[#This Row],[failures]]&gt;=2,100,IF(StudentData[[#This Row],[failures]]=1,60,0))</f>
        <v>0</v>
      </c>
      <c r="AK399">
        <f>IF(StudentData[[#This Row],[absences]]&gt;15,80,IF(StudentData[[#This Row],[absences]]&gt;10,50,0))</f>
        <v>80</v>
      </c>
      <c r="AL399">
        <f>IF(StudentData[[#This Row],[studytime]]=1,70,IF(StudentData[[#This Row],[studytime]]=2,40,0))</f>
        <v>40</v>
      </c>
      <c r="AM399">
        <f>IF(StudentData[[#This Row],[GradeDrop]]=1,50,0)</f>
        <v>0</v>
      </c>
      <c r="AN399">
        <f>0.4*StudentData[[#This Row],[FailureScore]]+0.3*StudentData[[#This Row],[AbsenceScore]]+0.2*StudentData[[#This Row],[StudyRisk]]+0.1*StudentData[[#This Row],[TrendRisk]]</f>
        <v>32</v>
      </c>
      <c r="AO399" t="str">
        <f>IF(StudentData[[#This Row],[RiskIndex]]&lt;=30,"Low",IF(StudentData[[#This Row],[RiskIndex]]&lt;=60,"Medium","High"))</f>
        <v>Medium</v>
      </c>
      <c r="AP399">
        <f>StudentData[[#This Row],[G3]]+('Intervention Simulator'!$C$2*1.5)</f>
        <v>14</v>
      </c>
      <c r="AQ399" t="str">
        <f>IF(StudentData[[#This Row],[ProjectedGrade]]&gt;=10,"Pass","Fail")</f>
        <v>Pass</v>
      </c>
    </row>
    <row r="400" spans="1:43" x14ac:dyDescent="0.3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  <c r="AH400" t="str">
        <f>IF(StudentData[[#This Row],[G3]]&gt;=10,"Pass","Fail")</f>
        <v>Pass</v>
      </c>
      <c r="AI400">
        <f>IF(StudentData[[#This Row],[G3]]&lt;StudentData[[#This Row],[G2]],1,0)</f>
        <v>0</v>
      </c>
      <c r="AJ400">
        <f>IF(StudentData[[#This Row],[failures]]&gt;=2,100,IF(StudentData[[#This Row],[failures]]=1,60,0))</f>
        <v>0</v>
      </c>
      <c r="AK400">
        <f>IF(StudentData[[#This Row],[absences]]&gt;15,80,IF(StudentData[[#This Row],[absences]]&gt;10,50,0))</f>
        <v>0</v>
      </c>
      <c r="AL400">
        <f>IF(StudentData[[#This Row],[studytime]]=1,70,IF(StudentData[[#This Row],[studytime]]=2,40,0))</f>
        <v>0</v>
      </c>
      <c r="AM400">
        <f>IF(StudentData[[#This Row],[GradeDrop]]=1,50,0)</f>
        <v>0</v>
      </c>
      <c r="AN400">
        <f>0.4*StudentData[[#This Row],[FailureScore]]+0.3*StudentData[[#This Row],[AbsenceScore]]+0.2*StudentData[[#This Row],[StudyRisk]]+0.1*StudentData[[#This Row],[TrendRisk]]</f>
        <v>0</v>
      </c>
      <c r="AO400" t="str">
        <f>IF(StudentData[[#This Row],[RiskIndex]]&lt;=30,"Low",IF(StudentData[[#This Row],[RiskIndex]]&lt;=60,"Medium","High"))</f>
        <v>Low</v>
      </c>
      <c r="AP400">
        <f>StudentData[[#This Row],[G3]]+('Intervention Simulator'!$C$2*1.5)</f>
        <v>14</v>
      </c>
      <c r="AQ400" t="str">
        <f>IF(StudentData[[#This Row],[ProjectedGrade]]&gt;=10,"Pass","Fail")</f>
        <v>Pass</v>
      </c>
    </row>
    <row r="401" spans="1:43" x14ac:dyDescent="0.3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  <c r="AH401" t="str">
        <f>IF(StudentData[[#This Row],[G3]]&gt;=10,"Pass","Fail")</f>
        <v>Pass</v>
      </c>
      <c r="AI401">
        <f>IF(StudentData[[#This Row],[G3]]&lt;StudentData[[#This Row],[G2]],1,0)</f>
        <v>0</v>
      </c>
      <c r="AJ401">
        <f>IF(StudentData[[#This Row],[failures]]&gt;=2,100,IF(StudentData[[#This Row],[failures]]=1,60,0))</f>
        <v>0</v>
      </c>
      <c r="AK401">
        <f>IF(StudentData[[#This Row],[absences]]&gt;15,80,IF(StudentData[[#This Row],[absences]]&gt;10,50,0))</f>
        <v>0</v>
      </c>
      <c r="AL401">
        <f>IF(StudentData[[#This Row],[studytime]]=1,70,IF(StudentData[[#This Row],[studytime]]=2,40,0))</f>
        <v>0</v>
      </c>
      <c r="AM401">
        <f>IF(StudentData[[#This Row],[GradeDrop]]=1,50,0)</f>
        <v>0</v>
      </c>
      <c r="AN401">
        <f>0.4*StudentData[[#This Row],[FailureScore]]+0.3*StudentData[[#This Row],[AbsenceScore]]+0.2*StudentData[[#This Row],[StudyRisk]]+0.1*StudentData[[#This Row],[TrendRisk]]</f>
        <v>0</v>
      </c>
      <c r="AO401" t="str">
        <f>IF(StudentData[[#This Row],[RiskIndex]]&lt;=30,"Low",IF(StudentData[[#This Row],[RiskIndex]]&lt;=60,"Medium","High"))</f>
        <v>Low</v>
      </c>
      <c r="AP401">
        <f>StudentData[[#This Row],[G3]]+('Intervention Simulator'!$C$2*1.5)</f>
        <v>17</v>
      </c>
      <c r="AQ401" t="str">
        <f>IF(StudentData[[#This Row],[ProjectedGrade]]&gt;=10,"Pass","Fail")</f>
        <v>Pass</v>
      </c>
    </row>
    <row r="402" spans="1:43" x14ac:dyDescent="0.3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  <c r="AH402" t="str">
        <f>IF(StudentData[[#This Row],[G3]]&gt;=10,"Pass","Fail")</f>
        <v>Pass</v>
      </c>
      <c r="AI402">
        <f>IF(StudentData[[#This Row],[G3]]&lt;StudentData[[#This Row],[G2]],1,0)</f>
        <v>0</v>
      </c>
      <c r="AJ402">
        <f>IF(StudentData[[#This Row],[failures]]&gt;=2,100,IF(StudentData[[#This Row],[failures]]=1,60,0))</f>
        <v>0</v>
      </c>
      <c r="AK402">
        <f>IF(StudentData[[#This Row],[absences]]&gt;15,80,IF(StudentData[[#This Row],[absences]]&gt;10,50,0))</f>
        <v>0</v>
      </c>
      <c r="AL402">
        <f>IF(StudentData[[#This Row],[studytime]]=1,70,IF(StudentData[[#This Row],[studytime]]=2,40,0))</f>
        <v>0</v>
      </c>
      <c r="AM402">
        <f>IF(StudentData[[#This Row],[GradeDrop]]=1,50,0)</f>
        <v>0</v>
      </c>
      <c r="AN402">
        <f>0.4*StudentData[[#This Row],[FailureScore]]+0.3*StudentData[[#This Row],[AbsenceScore]]+0.2*StudentData[[#This Row],[StudyRisk]]+0.1*StudentData[[#This Row],[TrendRisk]]</f>
        <v>0</v>
      </c>
      <c r="AO402" t="str">
        <f>IF(StudentData[[#This Row],[RiskIndex]]&lt;=30,"Low",IF(StudentData[[#This Row],[RiskIndex]]&lt;=60,"Medium","High"))</f>
        <v>Low</v>
      </c>
      <c r="AP402">
        <f>StudentData[[#This Row],[G3]]+('Intervention Simulator'!$C$2*1.5)</f>
        <v>17</v>
      </c>
      <c r="AQ402" t="str">
        <f>IF(StudentData[[#This Row],[ProjectedGrade]]&gt;=10,"Pass","Fail")</f>
        <v>Pass</v>
      </c>
    </row>
    <row r="403" spans="1:43" x14ac:dyDescent="0.3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  <c r="AH403" t="str">
        <f>IF(StudentData[[#This Row],[G3]]&gt;=10,"Pass","Fail")</f>
        <v>Pass</v>
      </c>
      <c r="AI403">
        <f>IF(StudentData[[#This Row],[G3]]&lt;StudentData[[#This Row],[G2]],1,0)</f>
        <v>0</v>
      </c>
      <c r="AJ403">
        <f>IF(StudentData[[#This Row],[failures]]&gt;=2,100,IF(StudentData[[#This Row],[failures]]=1,60,0))</f>
        <v>0</v>
      </c>
      <c r="AK403">
        <f>IF(StudentData[[#This Row],[absences]]&gt;15,80,IF(StudentData[[#This Row],[absences]]&gt;10,50,0))</f>
        <v>0</v>
      </c>
      <c r="AL403">
        <f>IF(StudentData[[#This Row],[studytime]]=1,70,IF(StudentData[[#This Row],[studytime]]=2,40,0))</f>
        <v>0</v>
      </c>
      <c r="AM403">
        <f>IF(StudentData[[#This Row],[GradeDrop]]=1,50,0)</f>
        <v>0</v>
      </c>
      <c r="AN403">
        <f>0.4*StudentData[[#This Row],[FailureScore]]+0.3*StudentData[[#This Row],[AbsenceScore]]+0.2*StudentData[[#This Row],[StudyRisk]]+0.1*StudentData[[#This Row],[TrendRisk]]</f>
        <v>0</v>
      </c>
      <c r="AO403" t="str">
        <f>IF(StudentData[[#This Row],[RiskIndex]]&lt;=30,"Low",IF(StudentData[[#This Row],[RiskIndex]]&lt;=60,"Medium","High"))</f>
        <v>Low</v>
      </c>
      <c r="AP403">
        <f>StudentData[[#This Row],[G3]]+('Intervention Simulator'!$C$2*1.5)</f>
        <v>14</v>
      </c>
      <c r="AQ403" t="str">
        <f>IF(StudentData[[#This Row],[ProjectedGrade]]&gt;=10,"Pass","Fail")</f>
        <v>Pass</v>
      </c>
    </row>
    <row r="404" spans="1:43" x14ac:dyDescent="0.3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  <c r="AH404" t="str">
        <f>IF(StudentData[[#This Row],[G3]]&gt;=10,"Pass","Fail")</f>
        <v>Pass</v>
      </c>
      <c r="AI404">
        <f>IF(StudentData[[#This Row],[G3]]&lt;StudentData[[#This Row],[G2]],1,0)</f>
        <v>0</v>
      </c>
      <c r="AJ404">
        <f>IF(StudentData[[#This Row],[failures]]&gt;=2,100,IF(StudentData[[#This Row],[failures]]=1,60,0))</f>
        <v>0</v>
      </c>
      <c r="AK404">
        <f>IF(StudentData[[#This Row],[absences]]&gt;15,80,IF(StudentData[[#This Row],[absences]]&gt;10,50,0))</f>
        <v>0</v>
      </c>
      <c r="AL404">
        <f>IF(StudentData[[#This Row],[studytime]]=1,70,IF(StudentData[[#This Row],[studytime]]=2,40,0))</f>
        <v>0</v>
      </c>
      <c r="AM404">
        <f>IF(StudentData[[#This Row],[GradeDrop]]=1,50,0)</f>
        <v>0</v>
      </c>
      <c r="AN404">
        <f>0.4*StudentData[[#This Row],[FailureScore]]+0.3*StudentData[[#This Row],[AbsenceScore]]+0.2*StudentData[[#This Row],[StudyRisk]]+0.1*StudentData[[#This Row],[TrendRisk]]</f>
        <v>0</v>
      </c>
      <c r="AO404" t="str">
        <f>IF(StudentData[[#This Row],[RiskIndex]]&lt;=30,"Low",IF(StudentData[[#This Row],[RiskIndex]]&lt;=60,"Medium","High"))</f>
        <v>Low</v>
      </c>
      <c r="AP404">
        <f>StudentData[[#This Row],[G3]]+('Intervention Simulator'!$C$2*1.5)</f>
        <v>13</v>
      </c>
      <c r="AQ404" t="str">
        <f>IF(StudentData[[#This Row],[ProjectedGrade]]&gt;=10,"Pass","Fail")</f>
        <v>Pass</v>
      </c>
    </row>
    <row r="405" spans="1:43" x14ac:dyDescent="0.3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  <c r="AH405" t="str">
        <f>IF(StudentData[[#This Row],[G3]]&gt;=10,"Pass","Fail")</f>
        <v>Pass</v>
      </c>
      <c r="AI405">
        <f>IF(StudentData[[#This Row],[G3]]&lt;StudentData[[#This Row],[G2]],1,0)</f>
        <v>0</v>
      </c>
      <c r="AJ405">
        <f>IF(StudentData[[#This Row],[failures]]&gt;=2,100,IF(StudentData[[#This Row],[failures]]=1,60,0))</f>
        <v>0</v>
      </c>
      <c r="AK405">
        <f>IF(StudentData[[#This Row],[absences]]&gt;15,80,IF(StudentData[[#This Row],[absences]]&gt;10,50,0))</f>
        <v>0</v>
      </c>
      <c r="AL405">
        <f>IF(StudentData[[#This Row],[studytime]]=1,70,IF(StudentData[[#This Row],[studytime]]=2,40,0))</f>
        <v>40</v>
      </c>
      <c r="AM405">
        <f>IF(StudentData[[#This Row],[GradeDrop]]=1,50,0)</f>
        <v>0</v>
      </c>
      <c r="AN405">
        <f>0.4*StudentData[[#This Row],[FailureScore]]+0.3*StudentData[[#This Row],[AbsenceScore]]+0.2*StudentData[[#This Row],[StudyRisk]]+0.1*StudentData[[#This Row],[TrendRisk]]</f>
        <v>8</v>
      </c>
      <c r="AO405" t="str">
        <f>IF(StudentData[[#This Row],[RiskIndex]]&lt;=30,"Low",IF(StudentData[[#This Row],[RiskIndex]]&lt;=60,"Medium","High"))</f>
        <v>Low</v>
      </c>
      <c r="AP405">
        <f>StudentData[[#This Row],[G3]]+('Intervention Simulator'!$C$2*1.5)</f>
        <v>15</v>
      </c>
      <c r="AQ405" t="str">
        <f>IF(StudentData[[#This Row],[ProjectedGrade]]&gt;=10,"Pass","Fail")</f>
        <v>Pass</v>
      </c>
    </row>
    <row r="406" spans="1:43" x14ac:dyDescent="0.3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  <c r="AH406" t="str">
        <f>IF(StudentData[[#This Row],[G3]]&gt;=10,"Pass","Fail")</f>
        <v>Pass</v>
      </c>
      <c r="AI406">
        <f>IF(StudentData[[#This Row],[G3]]&lt;StudentData[[#This Row],[G2]],1,0)</f>
        <v>0</v>
      </c>
      <c r="AJ406">
        <f>IF(StudentData[[#This Row],[failures]]&gt;=2,100,IF(StudentData[[#This Row],[failures]]=1,60,0))</f>
        <v>0</v>
      </c>
      <c r="AK406">
        <f>IF(StudentData[[#This Row],[absences]]&gt;15,80,IF(StudentData[[#This Row],[absences]]&gt;10,50,0))</f>
        <v>0</v>
      </c>
      <c r="AL406">
        <f>IF(StudentData[[#This Row],[studytime]]=1,70,IF(StudentData[[#This Row],[studytime]]=2,40,0))</f>
        <v>40</v>
      </c>
      <c r="AM406">
        <f>IF(StudentData[[#This Row],[GradeDrop]]=1,50,0)</f>
        <v>0</v>
      </c>
      <c r="AN406">
        <f>0.4*StudentData[[#This Row],[FailureScore]]+0.3*StudentData[[#This Row],[AbsenceScore]]+0.2*StudentData[[#This Row],[StudyRisk]]+0.1*StudentData[[#This Row],[TrendRisk]]</f>
        <v>8</v>
      </c>
      <c r="AO406" t="str">
        <f>IF(StudentData[[#This Row],[RiskIndex]]&lt;=30,"Low",IF(StudentData[[#This Row],[RiskIndex]]&lt;=60,"Medium","High"))</f>
        <v>Low</v>
      </c>
      <c r="AP406">
        <f>StudentData[[#This Row],[G3]]+('Intervention Simulator'!$C$2*1.5)</f>
        <v>16</v>
      </c>
      <c r="AQ406" t="str">
        <f>IF(StudentData[[#This Row],[ProjectedGrade]]&gt;=10,"Pass","Fail")</f>
        <v>Pass</v>
      </c>
    </row>
    <row r="407" spans="1:43" x14ac:dyDescent="0.3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  <c r="AH407" t="str">
        <f>IF(StudentData[[#This Row],[G3]]&gt;=10,"Pass","Fail")</f>
        <v>Pass</v>
      </c>
      <c r="AI407">
        <f>IF(StudentData[[#This Row],[G3]]&lt;StudentData[[#This Row],[G2]],1,0)</f>
        <v>0</v>
      </c>
      <c r="AJ407">
        <f>IF(StudentData[[#This Row],[failures]]&gt;=2,100,IF(StudentData[[#This Row],[failures]]=1,60,0))</f>
        <v>60</v>
      </c>
      <c r="AK407">
        <f>IF(StudentData[[#This Row],[absences]]&gt;15,80,IF(StudentData[[#This Row],[absences]]&gt;10,50,0))</f>
        <v>80</v>
      </c>
      <c r="AL407">
        <f>IF(StudentData[[#This Row],[studytime]]=1,70,IF(StudentData[[#This Row],[studytime]]=2,40,0))</f>
        <v>70</v>
      </c>
      <c r="AM407">
        <f>IF(StudentData[[#This Row],[GradeDrop]]=1,50,0)</f>
        <v>0</v>
      </c>
      <c r="AN407">
        <f>0.4*StudentData[[#This Row],[FailureScore]]+0.3*StudentData[[#This Row],[AbsenceScore]]+0.2*StudentData[[#This Row],[StudyRisk]]+0.1*StudentData[[#This Row],[TrendRisk]]</f>
        <v>62</v>
      </c>
      <c r="AO407" t="str">
        <f>IF(StudentData[[#This Row],[RiskIndex]]&lt;=30,"Low",IF(StudentData[[#This Row],[RiskIndex]]&lt;=60,"Medium","High"))</f>
        <v>High</v>
      </c>
      <c r="AP407">
        <f>StudentData[[#This Row],[G3]]+('Intervention Simulator'!$C$2*1.5)</f>
        <v>11</v>
      </c>
      <c r="AQ407" t="str">
        <f>IF(StudentData[[#This Row],[ProjectedGrade]]&gt;=10,"Pass","Fail")</f>
        <v>Pass</v>
      </c>
    </row>
    <row r="408" spans="1:43" x14ac:dyDescent="0.3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  <c r="AH408" t="str">
        <f>IF(StudentData[[#This Row],[G3]]&gt;=10,"Pass","Fail")</f>
        <v>Pass</v>
      </c>
      <c r="AI408">
        <f>IF(StudentData[[#This Row],[G3]]&lt;StudentData[[#This Row],[G2]],1,0)</f>
        <v>0</v>
      </c>
      <c r="AJ408">
        <f>IF(StudentData[[#This Row],[failures]]&gt;=2,100,IF(StudentData[[#This Row],[failures]]=1,60,0))</f>
        <v>60</v>
      </c>
      <c r="AK408">
        <f>IF(StudentData[[#This Row],[absences]]&gt;15,80,IF(StudentData[[#This Row],[absences]]&gt;10,50,0))</f>
        <v>0</v>
      </c>
      <c r="AL408">
        <f>IF(StudentData[[#This Row],[studytime]]=1,70,IF(StudentData[[#This Row],[studytime]]=2,40,0))</f>
        <v>70</v>
      </c>
      <c r="AM408">
        <f>IF(StudentData[[#This Row],[GradeDrop]]=1,50,0)</f>
        <v>0</v>
      </c>
      <c r="AN408">
        <f>0.4*StudentData[[#This Row],[FailureScore]]+0.3*StudentData[[#This Row],[AbsenceScore]]+0.2*StudentData[[#This Row],[StudyRisk]]+0.1*StudentData[[#This Row],[TrendRisk]]</f>
        <v>38</v>
      </c>
      <c r="AO408" t="str">
        <f>IF(StudentData[[#This Row],[RiskIndex]]&lt;=30,"Low",IF(StudentData[[#This Row],[RiskIndex]]&lt;=60,"Medium","High"))</f>
        <v>Medium</v>
      </c>
      <c r="AP408">
        <f>StudentData[[#This Row],[G3]]+('Intervention Simulator'!$C$2*1.5)</f>
        <v>13</v>
      </c>
      <c r="AQ408" t="str">
        <f>IF(StudentData[[#This Row],[ProjectedGrade]]&gt;=10,"Pass","Fail")</f>
        <v>Pass</v>
      </c>
    </row>
    <row r="409" spans="1:43" x14ac:dyDescent="0.3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  <c r="AH409" t="str">
        <f>IF(StudentData[[#This Row],[G3]]&gt;=10,"Pass","Fail")</f>
        <v>Pass</v>
      </c>
      <c r="AI409">
        <f>IF(StudentData[[#This Row],[G3]]&lt;StudentData[[#This Row],[G2]],1,0)</f>
        <v>0</v>
      </c>
      <c r="AJ409">
        <f>IF(StudentData[[#This Row],[failures]]&gt;=2,100,IF(StudentData[[#This Row],[failures]]=1,60,0))</f>
        <v>100</v>
      </c>
      <c r="AK409">
        <f>IF(StudentData[[#This Row],[absences]]&gt;15,80,IF(StudentData[[#This Row],[absences]]&gt;10,50,0))</f>
        <v>0</v>
      </c>
      <c r="AL409">
        <f>IF(StudentData[[#This Row],[studytime]]=1,70,IF(StudentData[[#This Row],[studytime]]=2,40,0))</f>
        <v>0</v>
      </c>
      <c r="AM409">
        <f>IF(StudentData[[#This Row],[GradeDrop]]=1,50,0)</f>
        <v>0</v>
      </c>
      <c r="AN409">
        <f>0.4*StudentData[[#This Row],[FailureScore]]+0.3*StudentData[[#This Row],[AbsenceScore]]+0.2*StudentData[[#This Row],[StudyRisk]]+0.1*StudentData[[#This Row],[TrendRisk]]</f>
        <v>40</v>
      </c>
      <c r="AO409" t="str">
        <f>IF(StudentData[[#This Row],[RiskIndex]]&lt;=30,"Low",IF(StudentData[[#This Row],[RiskIndex]]&lt;=60,"Medium","High"))</f>
        <v>Medium</v>
      </c>
      <c r="AP409">
        <f>StudentData[[#This Row],[G3]]+('Intervention Simulator'!$C$2*1.5)</f>
        <v>12</v>
      </c>
      <c r="AQ409" t="str">
        <f>IF(StudentData[[#This Row],[ProjectedGrade]]&gt;=10,"Pass","Fail")</f>
        <v>Pass</v>
      </c>
    </row>
    <row r="410" spans="1:43" x14ac:dyDescent="0.3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  <c r="AH410" t="str">
        <f>IF(StudentData[[#This Row],[G3]]&gt;=10,"Pass","Fail")</f>
        <v>Pass</v>
      </c>
      <c r="AI410">
        <f>IF(StudentData[[#This Row],[G3]]&lt;StudentData[[#This Row],[G2]],1,0)</f>
        <v>0</v>
      </c>
      <c r="AJ410">
        <f>IF(StudentData[[#This Row],[failures]]&gt;=2,100,IF(StudentData[[#This Row],[failures]]=1,60,0))</f>
        <v>0</v>
      </c>
      <c r="AK410">
        <f>IF(StudentData[[#This Row],[absences]]&gt;15,80,IF(StudentData[[#This Row],[absences]]&gt;10,50,0))</f>
        <v>50</v>
      </c>
      <c r="AL410">
        <f>IF(StudentData[[#This Row],[studytime]]=1,70,IF(StudentData[[#This Row],[studytime]]=2,40,0))</f>
        <v>40</v>
      </c>
      <c r="AM410">
        <f>IF(StudentData[[#This Row],[GradeDrop]]=1,50,0)</f>
        <v>0</v>
      </c>
      <c r="AN410">
        <f>0.4*StudentData[[#This Row],[FailureScore]]+0.3*StudentData[[#This Row],[AbsenceScore]]+0.2*StudentData[[#This Row],[StudyRisk]]+0.1*StudentData[[#This Row],[TrendRisk]]</f>
        <v>23</v>
      </c>
      <c r="AO410" t="str">
        <f>IF(StudentData[[#This Row],[RiskIndex]]&lt;=30,"Low",IF(StudentData[[#This Row],[RiskIndex]]&lt;=60,"Medium","High"))</f>
        <v>Low</v>
      </c>
      <c r="AP410">
        <f>StudentData[[#This Row],[G3]]+('Intervention Simulator'!$C$2*1.5)</f>
        <v>12</v>
      </c>
      <c r="AQ410" t="str">
        <f>IF(StudentData[[#This Row],[ProjectedGrade]]&gt;=10,"Pass","Fail")</f>
        <v>Pass</v>
      </c>
    </row>
    <row r="411" spans="1:43" x14ac:dyDescent="0.3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  <c r="AH411" t="str">
        <f>IF(StudentData[[#This Row],[G3]]&gt;=10,"Pass","Fail")</f>
        <v>Pass</v>
      </c>
      <c r="AI411">
        <f>IF(StudentData[[#This Row],[G3]]&lt;StudentData[[#This Row],[G2]],1,0)</f>
        <v>0</v>
      </c>
      <c r="AJ411">
        <f>IF(StudentData[[#This Row],[failures]]&gt;=2,100,IF(StudentData[[#This Row],[failures]]=1,60,0))</f>
        <v>0</v>
      </c>
      <c r="AK411">
        <f>IF(StudentData[[#This Row],[absences]]&gt;15,80,IF(StudentData[[#This Row],[absences]]&gt;10,50,0))</f>
        <v>0</v>
      </c>
      <c r="AL411">
        <f>IF(StudentData[[#This Row],[studytime]]=1,70,IF(StudentData[[#This Row],[studytime]]=2,40,0))</f>
        <v>40</v>
      </c>
      <c r="AM411">
        <f>IF(StudentData[[#This Row],[GradeDrop]]=1,50,0)</f>
        <v>0</v>
      </c>
      <c r="AN411">
        <f>0.4*StudentData[[#This Row],[FailureScore]]+0.3*StudentData[[#This Row],[AbsenceScore]]+0.2*StudentData[[#This Row],[StudyRisk]]+0.1*StudentData[[#This Row],[TrendRisk]]</f>
        <v>8</v>
      </c>
      <c r="AO411" t="str">
        <f>IF(StudentData[[#This Row],[RiskIndex]]&lt;=30,"Low",IF(StudentData[[#This Row],[RiskIndex]]&lt;=60,"Medium","High"))</f>
        <v>Low</v>
      </c>
      <c r="AP411">
        <f>StudentData[[#This Row],[G3]]+('Intervention Simulator'!$C$2*1.5)</f>
        <v>15</v>
      </c>
      <c r="AQ411" t="str">
        <f>IF(StudentData[[#This Row],[ProjectedGrade]]&gt;=10,"Pass","Fail")</f>
        <v>Pass</v>
      </c>
    </row>
    <row r="412" spans="1:43" x14ac:dyDescent="0.3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  <c r="AH412" t="str">
        <f>IF(StudentData[[#This Row],[G3]]&gt;=10,"Pass","Fail")</f>
        <v>Pass</v>
      </c>
      <c r="AI412">
        <f>IF(StudentData[[#This Row],[G3]]&lt;StudentData[[#This Row],[G2]],1,0)</f>
        <v>0</v>
      </c>
      <c r="AJ412">
        <f>IF(StudentData[[#This Row],[failures]]&gt;=2,100,IF(StudentData[[#This Row],[failures]]=1,60,0))</f>
        <v>0</v>
      </c>
      <c r="AK412">
        <f>IF(StudentData[[#This Row],[absences]]&gt;15,80,IF(StudentData[[#This Row],[absences]]&gt;10,50,0))</f>
        <v>0</v>
      </c>
      <c r="AL412">
        <f>IF(StudentData[[#This Row],[studytime]]=1,70,IF(StudentData[[#This Row],[studytime]]=2,40,0))</f>
        <v>40</v>
      </c>
      <c r="AM412">
        <f>IF(StudentData[[#This Row],[GradeDrop]]=1,50,0)</f>
        <v>0</v>
      </c>
      <c r="AN412">
        <f>0.4*StudentData[[#This Row],[FailureScore]]+0.3*StudentData[[#This Row],[AbsenceScore]]+0.2*StudentData[[#This Row],[StudyRisk]]+0.1*StudentData[[#This Row],[TrendRisk]]</f>
        <v>8</v>
      </c>
      <c r="AO412" t="str">
        <f>IF(StudentData[[#This Row],[RiskIndex]]&lt;=30,"Low",IF(StudentData[[#This Row],[RiskIndex]]&lt;=60,"Medium","High"))</f>
        <v>Low</v>
      </c>
      <c r="AP412">
        <f>StudentData[[#This Row],[G3]]+('Intervention Simulator'!$C$2*1.5)</f>
        <v>17</v>
      </c>
      <c r="AQ412" t="str">
        <f>IF(StudentData[[#This Row],[ProjectedGrade]]&gt;=10,"Pass","Fail")</f>
        <v>Pass</v>
      </c>
    </row>
    <row r="413" spans="1:43" x14ac:dyDescent="0.3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  <c r="AH413" t="str">
        <f>IF(StudentData[[#This Row],[G3]]&gt;=10,"Pass","Fail")</f>
        <v>Pass</v>
      </c>
      <c r="AI413">
        <f>IF(StudentData[[#This Row],[G3]]&lt;StudentData[[#This Row],[G2]],1,0)</f>
        <v>0</v>
      </c>
      <c r="AJ413">
        <f>IF(StudentData[[#This Row],[failures]]&gt;=2,100,IF(StudentData[[#This Row],[failures]]=1,60,0))</f>
        <v>0</v>
      </c>
      <c r="AK413">
        <f>IF(StudentData[[#This Row],[absences]]&gt;15,80,IF(StudentData[[#This Row],[absences]]&gt;10,50,0))</f>
        <v>0</v>
      </c>
      <c r="AL413">
        <f>IF(StudentData[[#This Row],[studytime]]=1,70,IF(StudentData[[#This Row],[studytime]]=2,40,0))</f>
        <v>0</v>
      </c>
      <c r="AM413">
        <f>IF(StudentData[[#This Row],[GradeDrop]]=1,50,0)</f>
        <v>0</v>
      </c>
      <c r="AN413">
        <f>0.4*StudentData[[#This Row],[FailureScore]]+0.3*StudentData[[#This Row],[AbsenceScore]]+0.2*StudentData[[#This Row],[StudyRisk]]+0.1*StudentData[[#This Row],[TrendRisk]]</f>
        <v>0</v>
      </c>
      <c r="AO413" t="str">
        <f>IF(StudentData[[#This Row],[RiskIndex]]&lt;=30,"Low",IF(StudentData[[#This Row],[RiskIndex]]&lt;=60,"Medium","High"))</f>
        <v>Low</v>
      </c>
      <c r="AP413">
        <f>StudentData[[#This Row],[G3]]+('Intervention Simulator'!$C$2*1.5)</f>
        <v>15</v>
      </c>
      <c r="AQ413" t="str">
        <f>IF(StudentData[[#This Row],[ProjectedGrade]]&gt;=10,"Pass","Fail")</f>
        <v>Pass</v>
      </c>
    </row>
    <row r="414" spans="1:43" x14ac:dyDescent="0.3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  <c r="AH414" t="str">
        <f>IF(StudentData[[#This Row],[G3]]&gt;=10,"Pass","Fail")</f>
        <v>Pass</v>
      </c>
      <c r="AI414">
        <f>IF(StudentData[[#This Row],[G3]]&lt;StudentData[[#This Row],[G2]],1,0)</f>
        <v>0</v>
      </c>
      <c r="AJ414">
        <f>IF(StudentData[[#This Row],[failures]]&gt;=2,100,IF(StudentData[[#This Row],[failures]]=1,60,0))</f>
        <v>0</v>
      </c>
      <c r="AK414">
        <f>IF(StudentData[[#This Row],[absences]]&gt;15,80,IF(StudentData[[#This Row],[absences]]&gt;10,50,0))</f>
        <v>0</v>
      </c>
      <c r="AL414">
        <f>IF(StudentData[[#This Row],[studytime]]=1,70,IF(StudentData[[#This Row],[studytime]]=2,40,0))</f>
        <v>40</v>
      </c>
      <c r="AM414">
        <f>IF(StudentData[[#This Row],[GradeDrop]]=1,50,0)</f>
        <v>0</v>
      </c>
      <c r="AN414">
        <f>0.4*StudentData[[#This Row],[FailureScore]]+0.3*StudentData[[#This Row],[AbsenceScore]]+0.2*StudentData[[#This Row],[StudyRisk]]+0.1*StudentData[[#This Row],[TrendRisk]]</f>
        <v>8</v>
      </c>
      <c r="AO414" t="str">
        <f>IF(StudentData[[#This Row],[RiskIndex]]&lt;=30,"Low",IF(StudentData[[#This Row],[RiskIndex]]&lt;=60,"Medium","High"))</f>
        <v>Low</v>
      </c>
      <c r="AP414">
        <f>StudentData[[#This Row],[G3]]+('Intervention Simulator'!$C$2*1.5)</f>
        <v>17</v>
      </c>
      <c r="AQ414" t="str">
        <f>IF(StudentData[[#This Row],[ProjectedGrade]]&gt;=10,"Pass","Fail")</f>
        <v>Pass</v>
      </c>
    </row>
    <row r="415" spans="1:43" x14ac:dyDescent="0.3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  <c r="AH415" t="str">
        <f>IF(StudentData[[#This Row],[G3]]&gt;=10,"Pass","Fail")</f>
        <v>Pass</v>
      </c>
      <c r="AI415">
        <f>IF(StudentData[[#This Row],[G3]]&lt;StudentData[[#This Row],[G2]],1,0)</f>
        <v>0</v>
      </c>
      <c r="AJ415">
        <f>IF(StudentData[[#This Row],[failures]]&gt;=2,100,IF(StudentData[[#This Row],[failures]]=1,60,0))</f>
        <v>100</v>
      </c>
      <c r="AK415">
        <f>IF(StudentData[[#This Row],[absences]]&gt;15,80,IF(StudentData[[#This Row],[absences]]&gt;10,50,0))</f>
        <v>80</v>
      </c>
      <c r="AL415">
        <f>IF(StudentData[[#This Row],[studytime]]=1,70,IF(StudentData[[#This Row],[studytime]]=2,40,0))</f>
        <v>40</v>
      </c>
      <c r="AM415">
        <f>IF(StudentData[[#This Row],[GradeDrop]]=1,50,0)</f>
        <v>0</v>
      </c>
      <c r="AN415">
        <f>0.4*StudentData[[#This Row],[FailureScore]]+0.3*StudentData[[#This Row],[AbsenceScore]]+0.2*StudentData[[#This Row],[StudyRisk]]+0.1*StudentData[[#This Row],[TrendRisk]]</f>
        <v>72</v>
      </c>
      <c r="AO415" t="str">
        <f>IF(StudentData[[#This Row],[RiskIndex]]&lt;=30,"Low",IF(StudentData[[#This Row],[RiskIndex]]&lt;=60,"Medium","High"))</f>
        <v>High</v>
      </c>
      <c r="AP415">
        <f>StudentData[[#This Row],[G3]]+('Intervention Simulator'!$C$2*1.5)</f>
        <v>10</v>
      </c>
      <c r="AQ415" t="str">
        <f>IF(StudentData[[#This Row],[ProjectedGrade]]&gt;=10,"Pass","Fail")</f>
        <v>Pass</v>
      </c>
    </row>
    <row r="416" spans="1:43" x14ac:dyDescent="0.3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  <c r="AH416" t="str">
        <f>IF(StudentData[[#This Row],[G3]]&gt;=10,"Pass","Fail")</f>
        <v>Pass</v>
      </c>
      <c r="AI416">
        <f>IF(StudentData[[#This Row],[G3]]&lt;StudentData[[#This Row],[G2]],1,0)</f>
        <v>0</v>
      </c>
      <c r="AJ416">
        <f>IF(StudentData[[#This Row],[failures]]&gt;=2,100,IF(StudentData[[#This Row],[failures]]=1,60,0))</f>
        <v>0</v>
      </c>
      <c r="AK416">
        <f>IF(StudentData[[#This Row],[absences]]&gt;15,80,IF(StudentData[[#This Row],[absences]]&gt;10,50,0))</f>
        <v>0</v>
      </c>
      <c r="AL416">
        <f>IF(StudentData[[#This Row],[studytime]]=1,70,IF(StudentData[[#This Row],[studytime]]=2,40,0))</f>
        <v>0</v>
      </c>
      <c r="AM416">
        <f>IF(StudentData[[#This Row],[GradeDrop]]=1,50,0)</f>
        <v>0</v>
      </c>
      <c r="AN416">
        <f>0.4*StudentData[[#This Row],[FailureScore]]+0.3*StudentData[[#This Row],[AbsenceScore]]+0.2*StudentData[[#This Row],[StudyRisk]]+0.1*StudentData[[#This Row],[TrendRisk]]</f>
        <v>0</v>
      </c>
      <c r="AO416" t="str">
        <f>IF(StudentData[[#This Row],[RiskIndex]]&lt;=30,"Low",IF(StudentData[[#This Row],[RiskIndex]]&lt;=60,"Medium","High"))</f>
        <v>Low</v>
      </c>
      <c r="AP416">
        <f>StudentData[[#This Row],[G3]]+('Intervention Simulator'!$C$2*1.5)</f>
        <v>15</v>
      </c>
      <c r="AQ416" t="str">
        <f>IF(StudentData[[#This Row],[ProjectedGrade]]&gt;=10,"Pass","Fail")</f>
        <v>Pass</v>
      </c>
    </row>
    <row r="417" spans="1:43" x14ac:dyDescent="0.3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  <c r="AH417" t="str">
        <f>IF(StudentData[[#This Row],[G3]]&gt;=10,"Pass","Fail")</f>
        <v>Pass</v>
      </c>
      <c r="AI417">
        <f>IF(StudentData[[#This Row],[G3]]&lt;StudentData[[#This Row],[G2]],1,0)</f>
        <v>0</v>
      </c>
      <c r="AJ417">
        <f>IF(StudentData[[#This Row],[failures]]&gt;=2,100,IF(StudentData[[#This Row],[failures]]=1,60,0))</f>
        <v>60</v>
      </c>
      <c r="AK417">
        <f>IF(StudentData[[#This Row],[absences]]&gt;15,80,IF(StudentData[[#This Row],[absences]]&gt;10,50,0))</f>
        <v>0</v>
      </c>
      <c r="AL417">
        <f>IF(StudentData[[#This Row],[studytime]]=1,70,IF(StudentData[[#This Row],[studytime]]=2,40,0))</f>
        <v>70</v>
      </c>
      <c r="AM417">
        <f>IF(StudentData[[#This Row],[GradeDrop]]=1,50,0)</f>
        <v>0</v>
      </c>
      <c r="AN417">
        <f>0.4*StudentData[[#This Row],[FailureScore]]+0.3*StudentData[[#This Row],[AbsenceScore]]+0.2*StudentData[[#This Row],[StudyRisk]]+0.1*StudentData[[#This Row],[TrendRisk]]</f>
        <v>38</v>
      </c>
      <c r="AO417" t="str">
        <f>IF(StudentData[[#This Row],[RiskIndex]]&lt;=30,"Low",IF(StudentData[[#This Row],[RiskIndex]]&lt;=60,"Medium","High"))</f>
        <v>Medium</v>
      </c>
      <c r="AP417">
        <f>StudentData[[#This Row],[G3]]+('Intervention Simulator'!$C$2*1.5)</f>
        <v>11</v>
      </c>
      <c r="AQ417" t="str">
        <f>IF(StudentData[[#This Row],[ProjectedGrade]]&gt;=10,"Pass","Fail")</f>
        <v>Pass</v>
      </c>
    </row>
    <row r="418" spans="1:43" x14ac:dyDescent="0.3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  <c r="AH418" t="str">
        <f>IF(StudentData[[#This Row],[G3]]&gt;=10,"Pass","Fail")</f>
        <v>Pass</v>
      </c>
      <c r="AI418">
        <f>IF(StudentData[[#This Row],[G3]]&lt;StudentData[[#This Row],[G2]],1,0)</f>
        <v>0</v>
      </c>
      <c r="AJ418">
        <f>IF(StudentData[[#This Row],[failures]]&gt;=2,100,IF(StudentData[[#This Row],[failures]]=1,60,0))</f>
        <v>0</v>
      </c>
      <c r="AK418">
        <f>IF(StudentData[[#This Row],[absences]]&gt;15,80,IF(StudentData[[#This Row],[absences]]&gt;10,50,0))</f>
        <v>0</v>
      </c>
      <c r="AL418">
        <f>IF(StudentData[[#This Row],[studytime]]=1,70,IF(StudentData[[#This Row],[studytime]]=2,40,0))</f>
        <v>40</v>
      </c>
      <c r="AM418">
        <f>IF(StudentData[[#This Row],[GradeDrop]]=1,50,0)</f>
        <v>0</v>
      </c>
      <c r="AN418">
        <f>0.4*StudentData[[#This Row],[FailureScore]]+0.3*StudentData[[#This Row],[AbsenceScore]]+0.2*StudentData[[#This Row],[StudyRisk]]+0.1*StudentData[[#This Row],[TrendRisk]]</f>
        <v>8</v>
      </c>
      <c r="AO418" t="str">
        <f>IF(StudentData[[#This Row],[RiskIndex]]&lt;=30,"Low",IF(StudentData[[#This Row],[RiskIndex]]&lt;=60,"Medium","High"))</f>
        <v>Low</v>
      </c>
      <c r="AP418">
        <f>StudentData[[#This Row],[G3]]+('Intervention Simulator'!$C$2*1.5)</f>
        <v>18</v>
      </c>
      <c r="AQ418" t="str">
        <f>IF(StudentData[[#This Row],[ProjectedGrade]]&gt;=10,"Pass","Fail")</f>
        <v>Pass</v>
      </c>
    </row>
    <row r="419" spans="1:43" x14ac:dyDescent="0.3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  <c r="AH419" t="str">
        <f>IF(StudentData[[#This Row],[G3]]&gt;=10,"Pass","Fail")</f>
        <v>Pass</v>
      </c>
      <c r="AI419">
        <f>IF(StudentData[[#This Row],[G3]]&lt;StudentData[[#This Row],[G2]],1,0)</f>
        <v>0</v>
      </c>
      <c r="AJ419">
        <f>IF(StudentData[[#This Row],[failures]]&gt;=2,100,IF(StudentData[[#This Row],[failures]]=1,60,0))</f>
        <v>0</v>
      </c>
      <c r="AK419">
        <f>IF(StudentData[[#This Row],[absences]]&gt;15,80,IF(StudentData[[#This Row],[absences]]&gt;10,50,0))</f>
        <v>0</v>
      </c>
      <c r="AL419">
        <f>IF(StudentData[[#This Row],[studytime]]=1,70,IF(StudentData[[#This Row],[studytime]]=2,40,0))</f>
        <v>0</v>
      </c>
      <c r="AM419">
        <f>IF(StudentData[[#This Row],[GradeDrop]]=1,50,0)</f>
        <v>0</v>
      </c>
      <c r="AN419">
        <f>0.4*StudentData[[#This Row],[FailureScore]]+0.3*StudentData[[#This Row],[AbsenceScore]]+0.2*StudentData[[#This Row],[StudyRisk]]+0.1*StudentData[[#This Row],[TrendRisk]]</f>
        <v>0</v>
      </c>
      <c r="AO419" t="str">
        <f>IF(StudentData[[#This Row],[RiskIndex]]&lt;=30,"Low",IF(StudentData[[#This Row],[RiskIndex]]&lt;=60,"Medium","High"))</f>
        <v>Low</v>
      </c>
      <c r="AP419">
        <f>StudentData[[#This Row],[G3]]+('Intervention Simulator'!$C$2*1.5)</f>
        <v>17</v>
      </c>
      <c r="AQ419" t="str">
        <f>IF(StudentData[[#This Row],[ProjectedGrade]]&gt;=10,"Pass","Fail")</f>
        <v>Pass</v>
      </c>
    </row>
    <row r="420" spans="1:43" x14ac:dyDescent="0.3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  <c r="AH420" t="str">
        <f>IF(StudentData[[#This Row],[G3]]&gt;=10,"Pass","Fail")</f>
        <v>Pass</v>
      </c>
      <c r="AI420">
        <f>IF(StudentData[[#This Row],[G3]]&lt;StudentData[[#This Row],[G2]],1,0)</f>
        <v>0</v>
      </c>
      <c r="AJ420">
        <f>IF(StudentData[[#This Row],[failures]]&gt;=2,100,IF(StudentData[[#This Row],[failures]]=1,60,0))</f>
        <v>0</v>
      </c>
      <c r="AK420">
        <f>IF(StudentData[[#This Row],[absences]]&gt;15,80,IF(StudentData[[#This Row],[absences]]&gt;10,50,0))</f>
        <v>50</v>
      </c>
      <c r="AL420">
        <f>IF(StudentData[[#This Row],[studytime]]=1,70,IF(StudentData[[#This Row],[studytime]]=2,40,0))</f>
        <v>70</v>
      </c>
      <c r="AM420">
        <f>IF(StudentData[[#This Row],[GradeDrop]]=1,50,0)</f>
        <v>0</v>
      </c>
      <c r="AN420">
        <f>0.4*StudentData[[#This Row],[FailureScore]]+0.3*StudentData[[#This Row],[AbsenceScore]]+0.2*StudentData[[#This Row],[StudyRisk]]+0.1*StudentData[[#This Row],[TrendRisk]]</f>
        <v>29</v>
      </c>
      <c r="AO420" t="str">
        <f>IF(StudentData[[#This Row],[RiskIndex]]&lt;=30,"Low",IF(StudentData[[#This Row],[RiskIndex]]&lt;=60,"Medium","High"))</f>
        <v>Low</v>
      </c>
      <c r="AP420">
        <f>StudentData[[#This Row],[G3]]+('Intervention Simulator'!$C$2*1.5)</f>
        <v>14</v>
      </c>
      <c r="AQ420" t="str">
        <f>IF(StudentData[[#This Row],[ProjectedGrade]]&gt;=10,"Pass","Fail")</f>
        <v>Pass</v>
      </c>
    </row>
    <row r="421" spans="1:43" x14ac:dyDescent="0.3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  <c r="AH421" t="str">
        <f>IF(StudentData[[#This Row],[G3]]&gt;=10,"Pass","Fail")</f>
        <v>Pass</v>
      </c>
      <c r="AI421">
        <f>IF(StudentData[[#This Row],[G3]]&lt;StudentData[[#This Row],[G2]],1,0)</f>
        <v>0</v>
      </c>
      <c r="AJ421">
        <f>IF(StudentData[[#This Row],[failures]]&gt;=2,100,IF(StudentData[[#This Row],[failures]]=1,60,0))</f>
        <v>0</v>
      </c>
      <c r="AK421">
        <f>IF(StudentData[[#This Row],[absences]]&gt;15,80,IF(StudentData[[#This Row],[absences]]&gt;10,50,0))</f>
        <v>0</v>
      </c>
      <c r="AL421">
        <f>IF(StudentData[[#This Row],[studytime]]=1,70,IF(StudentData[[#This Row],[studytime]]=2,40,0))</f>
        <v>70</v>
      </c>
      <c r="AM421">
        <f>IF(StudentData[[#This Row],[GradeDrop]]=1,50,0)</f>
        <v>0</v>
      </c>
      <c r="AN421">
        <f>0.4*StudentData[[#This Row],[FailureScore]]+0.3*StudentData[[#This Row],[AbsenceScore]]+0.2*StudentData[[#This Row],[StudyRisk]]+0.1*StudentData[[#This Row],[TrendRisk]]</f>
        <v>14</v>
      </c>
      <c r="AO421" t="str">
        <f>IF(StudentData[[#This Row],[RiskIndex]]&lt;=30,"Low",IF(StudentData[[#This Row],[RiskIndex]]&lt;=60,"Medium","High"))</f>
        <v>Low</v>
      </c>
      <c r="AP421">
        <f>StudentData[[#This Row],[G3]]+('Intervention Simulator'!$C$2*1.5)</f>
        <v>11</v>
      </c>
      <c r="AQ421" t="str">
        <f>IF(StudentData[[#This Row],[ProjectedGrade]]&gt;=10,"Pass","Fail")</f>
        <v>Pass</v>
      </c>
    </row>
    <row r="422" spans="1:43" x14ac:dyDescent="0.3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  <c r="AH422" t="str">
        <f>IF(StudentData[[#This Row],[G3]]&gt;=10,"Pass","Fail")</f>
        <v>Pass</v>
      </c>
      <c r="AI422">
        <f>IF(StudentData[[#This Row],[G3]]&lt;StudentData[[#This Row],[G2]],1,0)</f>
        <v>0</v>
      </c>
      <c r="AJ422">
        <f>IF(StudentData[[#This Row],[failures]]&gt;=2,100,IF(StudentData[[#This Row],[failures]]=1,60,0))</f>
        <v>0</v>
      </c>
      <c r="AK422">
        <f>IF(StudentData[[#This Row],[absences]]&gt;15,80,IF(StudentData[[#This Row],[absences]]&gt;10,50,0))</f>
        <v>0</v>
      </c>
      <c r="AL422">
        <f>IF(StudentData[[#This Row],[studytime]]=1,70,IF(StudentData[[#This Row],[studytime]]=2,40,0))</f>
        <v>40</v>
      </c>
      <c r="AM422">
        <f>IF(StudentData[[#This Row],[GradeDrop]]=1,50,0)</f>
        <v>0</v>
      </c>
      <c r="AN422">
        <f>0.4*StudentData[[#This Row],[FailureScore]]+0.3*StudentData[[#This Row],[AbsenceScore]]+0.2*StudentData[[#This Row],[StudyRisk]]+0.1*StudentData[[#This Row],[TrendRisk]]</f>
        <v>8</v>
      </c>
      <c r="AO422" t="str">
        <f>IF(StudentData[[#This Row],[RiskIndex]]&lt;=30,"Low",IF(StudentData[[#This Row],[RiskIndex]]&lt;=60,"Medium","High"))</f>
        <v>Low</v>
      </c>
      <c r="AP422">
        <f>StudentData[[#This Row],[G3]]+('Intervention Simulator'!$C$2*1.5)</f>
        <v>17</v>
      </c>
      <c r="AQ422" t="str">
        <f>IF(StudentData[[#This Row],[ProjectedGrade]]&gt;=10,"Pass","Fail")</f>
        <v>Pass</v>
      </c>
    </row>
    <row r="423" spans="1:43" x14ac:dyDescent="0.3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  <c r="AH423" t="str">
        <f>IF(StudentData[[#This Row],[G3]]&gt;=10,"Pass","Fail")</f>
        <v>Pass</v>
      </c>
      <c r="AI423">
        <f>IF(StudentData[[#This Row],[G3]]&lt;StudentData[[#This Row],[G2]],1,0)</f>
        <v>0</v>
      </c>
      <c r="AJ423">
        <f>IF(StudentData[[#This Row],[failures]]&gt;=2,100,IF(StudentData[[#This Row],[failures]]=1,60,0))</f>
        <v>60</v>
      </c>
      <c r="AK423">
        <f>IF(StudentData[[#This Row],[absences]]&gt;15,80,IF(StudentData[[#This Row],[absences]]&gt;10,50,0))</f>
        <v>0</v>
      </c>
      <c r="AL423">
        <f>IF(StudentData[[#This Row],[studytime]]=1,70,IF(StudentData[[#This Row],[studytime]]=2,40,0))</f>
        <v>70</v>
      </c>
      <c r="AM423">
        <f>IF(StudentData[[#This Row],[GradeDrop]]=1,50,0)</f>
        <v>0</v>
      </c>
      <c r="AN423">
        <f>0.4*StudentData[[#This Row],[FailureScore]]+0.3*StudentData[[#This Row],[AbsenceScore]]+0.2*StudentData[[#This Row],[StudyRisk]]+0.1*StudentData[[#This Row],[TrendRisk]]</f>
        <v>38</v>
      </c>
      <c r="AO423" t="str">
        <f>IF(StudentData[[#This Row],[RiskIndex]]&lt;=30,"Low",IF(StudentData[[#This Row],[RiskIndex]]&lt;=60,"Medium","High"))</f>
        <v>Medium</v>
      </c>
      <c r="AP423">
        <f>StudentData[[#This Row],[G3]]+('Intervention Simulator'!$C$2*1.5)</f>
        <v>10</v>
      </c>
      <c r="AQ423" t="str">
        <f>IF(StudentData[[#This Row],[ProjectedGrade]]&gt;=10,"Pass","Fail")</f>
        <v>Pass</v>
      </c>
    </row>
    <row r="424" spans="1:43" x14ac:dyDescent="0.3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  <c r="AH424" t="str">
        <f>IF(StudentData[[#This Row],[G3]]&gt;=10,"Pass","Fail")</f>
        <v>Pass</v>
      </c>
      <c r="AI424">
        <f>IF(StudentData[[#This Row],[G3]]&lt;StudentData[[#This Row],[G2]],1,0)</f>
        <v>0</v>
      </c>
      <c r="AJ424">
        <f>IF(StudentData[[#This Row],[failures]]&gt;=2,100,IF(StudentData[[#This Row],[failures]]=1,60,0))</f>
        <v>0</v>
      </c>
      <c r="AK424">
        <f>IF(StudentData[[#This Row],[absences]]&gt;15,80,IF(StudentData[[#This Row],[absences]]&gt;10,50,0))</f>
        <v>0</v>
      </c>
      <c r="AL424">
        <f>IF(StudentData[[#This Row],[studytime]]=1,70,IF(StudentData[[#This Row],[studytime]]=2,40,0))</f>
        <v>40</v>
      </c>
      <c r="AM424">
        <f>IF(StudentData[[#This Row],[GradeDrop]]=1,50,0)</f>
        <v>0</v>
      </c>
      <c r="AN424">
        <f>0.4*StudentData[[#This Row],[FailureScore]]+0.3*StudentData[[#This Row],[AbsenceScore]]+0.2*StudentData[[#This Row],[StudyRisk]]+0.1*StudentData[[#This Row],[TrendRisk]]</f>
        <v>8</v>
      </c>
      <c r="AO424" t="str">
        <f>IF(StudentData[[#This Row],[RiskIndex]]&lt;=30,"Low",IF(StudentData[[#This Row],[RiskIndex]]&lt;=60,"Medium","High"))</f>
        <v>Low</v>
      </c>
      <c r="AP424">
        <f>StudentData[[#This Row],[G3]]+('Intervention Simulator'!$C$2*1.5)</f>
        <v>13</v>
      </c>
      <c r="AQ424" t="str">
        <f>IF(StudentData[[#This Row],[ProjectedGrade]]&gt;=10,"Pass","Fail")</f>
        <v>Pass</v>
      </c>
    </row>
    <row r="425" spans="1:43" x14ac:dyDescent="0.3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  <c r="AH425" t="str">
        <f>IF(StudentData[[#This Row],[G3]]&gt;=10,"Pass","Fail")</f>
        <v>Pass</v>
      </c>
      <c r="AI425">
        <f>IF(StudentData[[#This Row],[G3]]&lt;StudentData[[#This Row],[G2]],1,0)</f>
        <v>0</v>
      </c>
      <c r="AJ425">
        <f>IF(StudentData[[#This Row],[failures]]&gt;=2,100,IF(StudentData[[#This Row],[failures]]=1,60,0))</f>
        <v>0</v>
      </c>
      <c r="AK425">
        <f>IF(StudentData[[#This Row],[absences]]&gt;15,80,IF(StudentData[[#This Row],[absences]]&gt;10,50,0))</f>
        <v>50</v>
      </c>
      <c r="AL425">
        <f>IF(StudentData[[#This Row],[studytime]]=1,70,IF(StudentData[[#This Row],[studytime]]=2,40,0))</f>
        <v>70</v>
      </c>
      <c r="AM425">
        <f>IF(StudentData[[#This Row],[GradeDrop]]=1,50,0)</f>
        <v>0</v>
      </c>
      <c r="AN425">
        <f>0.4*StudentData[[#This Row],[FailureScore]]+0.3*StudentData[[#This Row],[AbsenceScore]]+0.2*StudentData[[#This Row],[StudyRisk]]+0.1*StudentData[[#This Row],[TrendRisk]]</f>
        <v>29</v>
      </c>
      <c r="AO425" t="str">
        <f>IF(StudentData[[#This Row],[RiskIndex]]&lt;=30,"Low",IF(StudentData[[#This Row],[RiskIndex]]&lt;=60,"Medium","High"))</f>
        <v>Low</v>
      </c>
      <c r="AP425">
        <f>StudentData[[#This Row],[G3]]+('Intervention Simulator'!$C$2*1.5)</f>
        <v>11</v>
      </c>
      <c r="AQ425" t="str">
        <f>IF(StudentData[[#This Row],[ProjectedGrade]]&gt;=10,"Pass","Fail")</f>
        <v>Pass</v>
      </c>
    </row>
    <row r="426" spans="1:43" x14ac:dyDescent="0.3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  <c r="AH426" t="str">
        <f>IF(StudentData[[#This Row],[G3]]&gt;=10,"Pass","Fail")</f>
        <v>Pass</v>
      </c>
      <c r="AI426">
        <f>IF(StudentData[[#This Row],[G3]]&lt;StudentData[[#This Row],[G2]],1,0)</f>
        <v>0</v>
      </c>
      <c r="AJ426">
        <f>IF(StudentData[[#This Row],[failures]]&gt;=2,100,IF(StudentData[[#This Row],[failures]]=1,60,0))</f>
        <v>0</v>
      </c>
      <c r="AK426">
        <f>IF(StudentData[[#This Row],[absences]]&gt;15,80,IF(StudentData[[#This Row],[absences]]&gt;10,50,0))</f>
        <v>0</v>
      </c>
      <c r="AL426">
        <f>IF(StudentData[[#This Row],[studytime]]=1,70,IF(StudentData[[#This Row],[studytime]]=2,40,0))</f>
        <v>40</v>
      </c>
      <c r="AM426">
        <f>IF(StudentData[[#This Row],[GradeDrop]]=1,50,0)</f>
        <v>0</v>
      </c>
      <c r="AN426">
        <f>0.4*StudentData[[#This Row],[FailureScore]]+0.3*StudentData[[#This Row],[AbsenceScore]]+0.2*StudentData[[#This Row],[StudyRisk]]+0.1*StudentData[[#This Row],[TrendRisk]]</f>
        <v>8</v>
      </c>
      <c r="AO426" t="str">
        <f>IF(StudentData[[#This Row],[RiskIndex]]&lt;=30,"Low",IF(StudentData[[#This Row],[RiskIndex]]&lt;=60,"Medium","High"))</f>
        <v>Low</v>
      </c>
      <c r="AP426">
        <f>StudentData[[#This Row],[G3]]+('Intervention Simulator'!$C$2*1.5)</f>
        <v>12</v>
      </c>
      <c r="AQ426" t="str">
        <f>IF(StudentData[[#This Row],[ProjectedGrade]]&gt;=10,"Pass","Fail")</f>
        <v>Pass</v>
      </c>
    </row>
    <row r="427" spans="1:43" x14ac:dyDescent="0.3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  <c r="AH427" t="str">
        <f>IF(StudentData[[#This Row],[G3]]&gt;=10,"Pass","Fail")</f>
        <v>Pass</v>
      </c>
      <c r="AI427">
        <f>IF(StudentData[[#This Row],[G3]]&lt;StudentData[[#This Row],[G2]],1,0)</f>
        <v>0</v>
      </c>
      <c r="AJ427">
        <f>IF(StudentData[[#This Row],[failures]]&gt;=2,100,IF(StudentData[[#This Row],[failures]]=1,60,0))</f>
        <v>60</v>
      </c>
      <c r="AK427">
        <f>IF(StudentData[[#This Row],[absences]]&gt;15,80,IF(StudentData[[#This Row],[absences]]&gt;10,50,0))</f>
        <v>0</v>
      </c>
      <c r="AL427">
        <f>IF(StudentData[[#This Row],[studytime]]=1,70,IF(StudentData[[#This Row],[studytime]]=2,40,0))</f>
        <v>70</v>
      </c>
      <c r="AM427">
        <f>IF(StudentData[[#This Row],[GradeDrop]]=1,50,0)</f>
        <v>0</v>
      </c>
      <c r="AN427">
        <f>0.4*StudentData[[#This Row],[FailureScore]]+0.3*StudentData[[#This Row],[AbsenceScore]]+0.2*StudentData[[#This Row],[StudyRisk]]+0.1*StudentData[[#This Row],[TrendRisk]]</f>
        <v>38</v>
      </c>
      <c r="AO427" t="str">
        <f>IF(StudentData[[#This Row],[RiskIndex]]&lt;=30,"Low",IF(StudentData[[#This Row],[RiskIndex]]&lt;=60,"Medium","High"))</f>
        <v>Medium</v>
      </c>
      <c r="AP427">
        <f>StudentData[[#This Row],[G3]]+('Intervention Simulator'!$C$2*1.5)</f>
        <v>10</v>
      </c>
      <c r="AQ427" t="str">
        <f>IF(StudentData[[#This Row],[ProjectedGrade]]&gt;=10,"Pass","Fail")</f>
        <v>Pass</v>
      </c>
    </row>
    <row r="428" spans="1:43" x14ac:dyDescent="0.3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  <c r="AH428" t="str">
        <f>IF(StudentData[[#This Row],[G3]]&gt;=10,"Pass","Fail")</f>
        <v>Pass</v>
      </c>
      <c r="AI428">
        <f>IF(StudentData[[#This Row],[G3]]&lt;StudentData[[#This Row],[G2]],1,0)</f>
        <v>0</v>
      </c>
      <c r="AJ428">
        <f>IF(StudentData[[#This Row],[failures]]&gt;=2,100,IF(StudentData[[#This Row],[failures]]=1,60,0))</f>
        <v>0</v>
      </c>
      <c r="AK428">
        <f>IF(StudentData[[#This Row],[absences]]&gt;15,80,IF(StudentData[[#This Row],[absences]]&gt;10,50,0))</f>
        <v>0</v>
      </c>
      <c r="AL428">
        <f>IF(StudentData[[#This Row],[studytime]]=1,70,IF(StudentData[[#This Row],[studytime]]=2,40,0))</f>
        <v>70</v>
      </c>
      <c r="AM428">
        <f>IF(StudentData[[#This Row],[GradeDrop]]=1,50,0)</f>
        <v>0</v>
      </c>
      <c r="AN428">
        <f>0.4*StudentData[[#This Row],[FailureScore]]+0.3*StudentData[[#This Row],[AbsenceScore]]+0.2*StudentData[[#This Row],[StudyRisk]]+0.1*StudentData[[#This Row],[TrendRisk]]</f>
        <v>14</v>
      </c>
      <c r="AO428" t="str">
        <f>IF(StudentData[[#This Row],[RiskIndex]]&lt;=30,"Low",IF(StudentData[[#This Row],[RiskIndex]]&lt;=60,"Medium","High"))</f>
        <v>Low</v>
      </c>
      <c r="AP428">
        <f>StudentData[[#This Row],[G3]]+('Intervention Simulator'!$C$2*1.5)</f>
        <v>11</v>
      </c>
      <c r="AQ428" t="str">
        <f>IF(StudentData[[#This Row],[ProjectedGrade]]&gt;=10,"Pass","Fail")</f>
        <v>Pass</v>
      </c>
    </row>
    <row r="429" spans="1:43" x14ac:dyDescent="0.3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  <c r="AH429" t="str">
        <f>IF(StudentData[[#This Row],[G3]]&gt;=10,"Pass","Fail")</f>
        <v>Pass</v>
      </c>
      <c r="AI429">
        <f>IF(StudentData[[#This Row],[G3]]&lt;StudentData[[#This Row],[G2]],1,0)</f>
        <v>0</v>
      </c>
      <c r="AJ429">
        <f>IF(StudentData[[#This Row],[failures]]&gt;=2,100,IF(StudentData[[#This Row],[failures]]=1,60,0))</f>
        <v>0</v>
      </c>
      <c r="AK429">
        <f>IF(StudentData[[#This Row],[absences]]&gt;15,80,IF(StudentData[[#This Row],[absences]]&gt;10,50,0))</f>
        <v>0</v>
      </c>
      <c r="AL429">
        <f>IF(StudentData[[#This Row],[studytime]]=1,70,IF(StudentData[[#This Row],[studytime]]=2,40,0))</f>
        <v>40</v>
      </c>
      <c r="AM429">
        <f>IF(StudentData[[#This Row],[GradeDrop]]=1,50,0)</f>
        <v>0</v>
      </c>
      <c r="AN429">
        <f>0.4*StudentData[[#This Row],[FailureScore]]+0.3*StudentData[[#This Row],[AbsenceScore]]+0.2*StudentData[[#This Row],[StudyRisk]]+0.1*StudentData[[#This Row],[TrendRisk]]</f>
        <v>8</v>
      </c>
      <c r="AO429" t="str">
        <f>IF(StudentData[[#This Row],[RiskIndex]]&lt;=30,"Low",IF(StudentData[[#This Row],[RiskIndex]]&lt;=60,"Medium","High"))</f>
        <v>Low</v>
      </c>
      <c r="AP429">
        <f>StudentData[[#This Row],[G3]]+('Intervention Simulator'!$C$2*1.5)</f>
        <v>17</v>
      </c>
      <c r="AQ429" t="str">
        <f>IF(StudentData[[#This Row],[ProjectedGrade]]&gt;=10,"Pass","Fail")</f>
        <v>Pass</v>
      </c>
    </row>
    <row r="430" spans="1:43" x14ac:dyDescent="0.3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  <c r="AH430" t="str">
        <f>IF(StudentData[[#This Row],[G3]]&gt;=10,"Pass","Fail")</f>
        <v>Fail</v>
      </c>
      <c r="AI430">
        <f>IF(StudentData[[#This Row],[G3]]&lt;StudentData[[#This Row],[G2]],1,0)</f>
        <v>0</v>
      </c>
      <c r="AJ430">
        <f>IF(StudentData[[#This Row],[failures]]&gt;=2,100,IF(StudentData[[#This Row],[failures]]=1,60,0))</f>
        <v>0</v>
      </c>
      <c r="AK430">
        <f>IF(StudentData[[#This Row],[absences]]&gt;15,80,IF(StudentData[[#This Row],[absences]]&gt;10,50,0))</f>
        <v>0</v>
      </c>
      <c r="AL430">
        <f>IF(StudentData[[#This Row],[studytime]]=1,70,IF(StudentData[[#This Row],[studytime]]=2,40,0))</f>
        <v>70</v>
      </c>
      <c r="AM430">
        <f>IF(StudentData[[#This Row],[GradeDrop]]=1,50,0)</f>
        <v>0</v>
      </c>
      <c r="AN430">
        <f>0.4*StudentData[[#This Row],[FailureScore]]+0.3*StudentData[[#This Row],[AbsenceScore]]+0.2*StudentData[[#This Row],[StudyRisk]]+0.1*StudentData[[#This Row],[TrendRisk]]</f>
        <v>14</v>
      </c>
      <c r="AO430" t="str">
        <f>IF(StudentData[[#This Row],[RiskIndex]]&lt;=30,"Low",IF(StudentData[[#This Row],[RiskIndex]]&lt;=60,"Medium","High"))</f>
        <v>Low</v>
      </c>
      <c r="AP430">
        <f>StudentData[[#This Row],[G3]]+('Intervention Simulator'!$C$2*1.5)</f>
        <v>9</v>
      </c>
      <c r="AQ430" t="str">
        <f>IF(StudentData[[#This Row],[ProjectedGrade]]&gt;=10,"Pass","Fail")</f>
        <v>Fail</v>
      </c>
    </row>
    <row r="431" spans="1:43" x14ac:dyDescent="0.3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  <c r="AH431" t="str">
        <f>IF(StudentData[[#This Row],[G3]]&gt;=10,"Pass","Fail")</f>
        <v>Pass</v>
      </c>
      <c r="AI431">
        <f>IF(StudentData[[#This Row],[G3]]&lt;StudentData[[#This Row],[G2]],1,0)</f>
        <v>0</v>
      </c>
      <c r="AJ431">
        <f>IF(StudentData[[#This Row],[failures]]&gt;=2,100,IF(StudentData[[#This Row],[failures]]=1,60,0))</f>
        <v>0</v>
      </c>
      <c r="AK431">
        <f>IF(StudentData[[#This Row],[absences]]&gt;15,80,IF(StudentData[[#This Row],[absences]]&gt;10,50,0))</f>
        <v>0</v>
      </c>
      <c r="AL431">
        <f>IF(StudentData[[#This Row],[studytime]]=1,70,IF(StudentData[[#This Row],[studytime]]=2,40,0))</f>
        <v>40</v>
      </c>
      <c r="AM431">
        <f>IF(StudentData[[#This Row],[GradeDrop]]=1,50,0)</f>
        <v>0</v>
      </c>
      <c r="AN431">
        <f>0.4*StudentData[[#This Row],[FailureScore]]+0.3*StudentData[[#This Row],[AbsenceScore]]+0.2*StudentData[[#This Row],[StudyRisk]]+0.1*StudentData[[#This Row],[TrendRisk]]</f>
        <v>8</v>
      </c>
      <c r="AO431" t="str">
        <f>IF(StudentData[[#This Row],[RiskIndex]]&lt;=30,"Low",IF(StudentData[[#This Row],[RiskIndex]]&lt;=60,"Medium","High"))</f>
        <v>Low</v>
      </c>
      <c r="AP431">
        <f>StudentData[[#This Row],[G3]]+('Intervention Simulator'!$C$2*1.5)</f>
        <v>11</v>
      </c>
      <c r="AQ431" t="str">
        <f>IF(StudentData[[#This Row],[ProjectedGrade]]&gt;=10,"Pass","Fail")</f>
        <v>Pass</v>
      </c>
    </row>
    <row r="432" spans="1:43" x14ac:dyDescent="0.3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  <c r="AH432" t="str">
        <f>IF(StudentData[[#This Row],[G3]]&gt;=10,"Pass","Fail")</f>
        <v>Pass</v>
      </c>
      <c r="AI432">
        <f>IF(StudentData[[#This Row],[G3]]&lt;StudentData[[#This Row],[G2]],1,0)</f>
        <v>0</v>
      </c>
      <c r="AJ432">
        <f>IF(StudentData[[#This Row],[failures]]&gt;=2,100,IF(StudentData[[#This Row],[failures]]=1,60,0))</f>
        <v>0</v>
      </c>
      <c r="AK432">
        <f>IF(StudentData[[#This Row],[absences]]&gt;15,80,IF(StudentData[[#This Row],[absences]]&gt;10,50,0))</f>
        <v>0</v>
      </c>
      <c r="AL432">
        <f>IF(StudentData[[#This Row],[studytime]]=1,70,IF(StudentData[[#This Row],[studytime]]=2,40,0))</f>
        <v>0</v>
      </c>
      <c r="AM432">
        <f>IF(StudentData[[#This Row],[GradeDrop]]=1,50,0)</f>
        <v>0</v>
      </c>
      <c r="AN432">
        <f>0.4*StudentData[[#This Row],[FailureScore]]+0.3*StudentData[[#This Row],[AbsenceScore]]+0.2*StudentData[[#This Row],[StudyRisk]]+0.1*StudentData[[#This Row],[TrendRisk]]</f>
        <v>0</v>
      </c>
      <c r="AO432" t="str">
        <f>IF(StudentData[[#This Row],[RiskIndex]]&lt;=30,"Low",IF(StudentData[[#This Row],[RiskIndex]]&lt;=60,"Medium","High"))</f>
        <v>Low</v>
      </c>
      <c r="AP432">
        <f>StudentData[[#This Row],[G3]]+('Intervention Simulator'!$C$2*1.5)</f>
        <v>11</v>
      </c>
      <c r="AQ432" t="str">
        <f>IF(StudentData[[#This Row],[ProjectedGrade]]&gt;=10,"Pass","Fail")</f>
        <v>Pass</v>
      </c>
    </row>
    <row r="433" spans="1:43" x14ac:dyDescent="0.3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  <c r="AH433" t="str">
        <f>IF(StudentData[[#This Row],[G3]]&gt;=10,"Pass","Fail")</f>
        <v>Pass</v>
      </c>
      <c r="AI433">
        <f>IF(StudentData[[#This Row],[G3]]&lt;StudentData[[#This Row],[G2]],1,0)</f>
        <v>0</v>
      </c>
      <c r="AJ433">
        <f>IF(StudentData[[#This Row],[failures]]&gt;=2,100,IF(StudentData[[#This Row],[failures]]=1,60,0))</f>
        <v>60</v>
      </c>
      <c r="AK433">
        <f>IF(StudentData[[#This Row],[absences]]&gt;15,80,IF(StudentData[[#This Row],[absences]]&gt;10,50,0))</f>
        <v>0</v>
      </c>
      <c r="AL433">
        <f>IF(StudentData[[#This Row],[studytime]]=1,70,IF(StudentData[[#This Row],[studytime]]=2,40,0))</f>
        <v>40</v>
      </c>
      <c r="AM433">
        <f>IF(StudentData[[#This Row],[GradeDrop]]=1,50,0)</f>
        <v>0</v>
      </c>
      <c r="AN433">
        <f>0.4*StudentData[[#This Row],[FailureScore]]+0.3*StudentData[[#This Row],[AbsenceScore]]+0.2*StudentData[[#This Row],[StudyRisk]]+0.1*StudentData[[#This Row],[TrendRisk]]</f>
        <v>32</v>
      </c>
      <c r="AO433" t="str">
        <f>IF(StudentData[[#This Row],[RiskIndex]]&lt;=30,"Low",IF(StudentData[[#This Row],[RiskIndex]]&lt;=60,"Medium","High"))</f>
        <v>Medium</v>
      </c>
      <c r="AP433">
        <f>StudentData[[#This Row],[G3]]+('Intervention Simulator'!$C$2*1.5)</f>
        <v>10</v>
      </c>
      <c r="AQ433" t="str">
        <f>IF(StudentData[[#This Row],[ProjectedGrade]]&gt;=10,"Pass","Fail")</f>
        <v>Pass</v>
      </c>
    </row>
    <row r="434" spans="1:43" x14ac:dyDescent="0.3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  <c r="AH434" t="str">
        <f>IF(StudentData[[#This Row],[G3]]&gt;=10,"Pass","Fail")</f>
        <v>Fail</v>
      </c>
      <c r="AI434">
        <f>IF(StudentData[[#This Row],[G3]]&lt;StudentData[[#This Row],[G2]],1,0)</f>
        <v>0</v>
      </c>
      <c r="AJ434">
        <f>IF(StudentData[[#This Row],[failures]]&gt;=2,100,IF(StudentData[[#This Row],[failures]]=1,60,0))</f>
        <v>60</v>
      </c>
      <c r="AK434">
        <f>IF(StudentData[[#This Row],[absences]]&gt;15,80,IF(StudentData[[#This Row],[absences]]&gt;10,50,0))</f>
        <v>0</v>
      </c>
      <c r="AL434">
        <f>IF(StudentData[[#This Row],[studytime]]=1,70,IF(StudentData[[#This Row],[studytime]]=2,40,0))</f>
        <v>70</v>
      </c>
      <c r="AM434">
        <f>IF(StudentData[[#This Row],[GradeDrop]]=1,50,0)</f>
        <v>0</v>
      </c>
      <c r="AN434">
        <f>0.4*StudentData[[#This Row],[FailureScore]]+0.3*StudentData[[#This Row],[AbsenceScore]]+0.2*StudentData[[#This Row],[StudyRisk]]+0.1*StudentData[[#This Row],[TrendRisk]]</f>
        <v>38</v>
      </c>
      <c r="AO434" t="str">
        <f>IF(StudentData[[#This Row],[RiskIndex]]&lt;=30,"Low",IF(StudentData[[#This Row],[RiskIndex]]&lt;=60,"Medium","High"))</f>
        <v>Medium</v>
      </c>
      <c r="AP434">
        <f>StudentData[[#This Row],[G3]]+('Intervention Simulator'!$C$2*1.5)</f>
        <v>7</v>
      </c>
      <c r="AQ434" t="str">
        <f>IF(StudentData[[#This Row],[ProjectedGrade]]&gt;=10,"Pass","Fail")</f>
        <v>Fail</v>
      </c>
    </row>
    <row r="435" spans="1:43" x14ac:dyDescent="0.3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  <c r="AH435" t="str">
        <f>IF(StudentData[[#This Row],[G3]]&gt;=10,"Pass","Fail")</f>
        <v>Pass</v>
      </c>
      <c r="AI435">
        <f>IF(StudentData[[#This Row],[G3]]&lt;StudentData[[#This Row],[G2]],1,0)</f>
        <v>0</v>
      </c>
      <c r="AJ435">
        <f>IF(StudentData[[#This Row],[failures]]&gt;=2,100,IF(StudentData[[#This Row],[failures]]=1,60,0))</f>
        <v>0</v>
      </c>
      <c r="AK435">
        <f>IF(StudentData[[#This Row],[absences]]&gt;15,80,IF(StudentData[[#This Row],[absences]]&gt;10,50,0))</f>
        <v>0</v>
      </c>
      <c r="AL435">
        <f>IF(StudentData[[#This Row],[studytime]]=1,70,IF(StudentData[[#This Row],[studytime]]=2,40,0))</f>
        <v>70</v>
      </c>
      <c r="AM435">
        <f>IF(StudentData[[#This Row],[GradeDrop]]=1,50,0)</f>
        <v>0</v>
      </c>
      <c r="AN435">
        <f>0.4*StudentData[[#This Row],[FailureScore]]+0.3*StudentData[[#This Row],[AbsenceScore]]+0.2*StudentData[[#This Row],[StudyRisk]]+0.1*StudentData[[#This Row],[TrendRisk]]</f>
        <v>14</v>
      </c>
      <c r="AO435" t="str">
        <f>IF(StudentData[[#This Row],[RiskIndex]]&lt;=30,"Low",IF(StudentData[[#This Row],[RiskIndex]]&lt;=60,"Medium","High"))</f>
        <v>Low</v>
      </c>
      <c r="AP435">
        <f>StudentData[[#This Row],[G3]]+('Intervention Simulator'!$C$2*1.5)</f>
        <v>14</v>
      </c>
      <c r="AQ435" t="str">
        <f>IF(StudentData[[#This Row],[ProjectedGrade]]&gt;=10,"Pass","Fail")</f>
        <v>Pass</v>
      </c>
    </row>
    <row r="436" spans="1:43" x14ac:dyDescent="0.3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  <c r="AH436" t="str">
        <f>IF(StudentData[[#This Row],[G3]]&gt;=10,"Pass","Fail")</f>
        <v>Pass</v>
      </c>
      <c r="AI436">
        <f>IF(StudentData[[#This Row],[G3]]&lt;StudentData[[#This Row],[G2]],1,0)</f>
        <v>0</v>
      </c>
      <c r="AJ436">
        <f>IF(StudentData[[#This Row],[failures]]&gt;=2,100,IF(StudentData[[#This Row],[failures]]=1,60,0))</f>
        <v>0</v>
      </c>
      <c r="AK436">
        <f>IF(StudentData[[#This Row],[absences]]&gt;15,80,IF(StudentData[[#This Row],[absences]]&gt;10,50,0))</f>
        <v>0</v>
      </c>
      <c r="AL436">
        <f>IF(StudentData[[#This Row],[studytime]]=1,70,IF(StudentData[[#This Row],[studytime]]=2,40,0))</f>
        <v>0</v>
      </c>
      <c r="AM436">
        <f>IF(StudentData[[#This Row],[GradeDrop]]=1,50,0)</f>
        <v>0</v>
      </c>
      <c r="AN436">
        <f>0.4*StudentData[[#This Row],[FailureScore]]+0.3*StudentData[[#This Row],[AbsenceScore]]+0.2*StudentData[[#This Row],[StudyRisk]]+0.1*StudentData[[#This Row],[TrendRisk]]</f>
        <v>0</v>
      </c>
      <c r="AO436" t="str">
        <f>IF(StudentData[[#This Row],[RiskIndex]]&lt;=30,"Low",IF(StudentData[[#This Row],[RiskIndex]]&lt;=60,"Medium","High"))</f>
        <v>Low</v>
      </c>
      <c r="AP436">
        <f>StudentData[[#This Row],[G3]]+('Intervention Simulator'!$C$2*1.5)</f>
        <v>11</v>
      </c>
      <c r="AQ436" t="str">
        <f>IF(StudentData[[#This Row],[ProjectedGrade]]&gt;=10,"Pass","Fail")</f>
        <v>Pass</v>
      </c>
    </row>
    <row r="437" spans="1:43" x14ac:dyDescent="0.3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  <c r="AH437" t="str">
        <f>IF(StudentData[[#This Row],[G3]]&gt;=10,"Pass","Fail")</f>
        <v>Pass</v>
      </c>
      <c r="AI437">
        <f>IF(StudentData[[#This Row],[G3]]&lt;StudentData[[#This Row],[G2]],1,0)</f>
        <v>0</v>
      </c>
      <c r="AJ437">
        <f>IF(StudentData[[#This Row],[failures]]&gt;=2,100,IF(StudentData[[#This Row],[failures]]=1,60,0))</f>
        <v>0</v>
      </c>
      <c r="AK437">
        <f>IF(StudentData[[#This Row],[absences]]&gt;15,80,IF(StudentData[[#This Row],[absences]]&gt;10,50,0))</f>
        <v>0</v>
      </c>
      <c r="AL437">
        <f>IF(StudentData[[#This Row],[studytime]]=1,70,IF(StudentData[[#This Row],[studytime]]=2,40,0))</f>
        <v>40</v>
      </c>
      <c r="AM437">
        <f>IF(StudentData[[#This Row],[GradeDrop]]=1,50,0)</f>
        <v>0</v>
      </c>
      <c r="AN437">
        <f>0.4*StudentData[[#This Row],[FailureScore]]+0.3*StudentData[[#This Row],[AbsenceScore]]+0.2*StudentData[[#This Row],[StudyRisk]]+0.1*StudentData[[#This Row],[TrendRisk]]</f>
        <v>8</v>
      </c>
      <c r="AO437" t="str">
        <f>IF(StudentData[[#This Row],[RiskIndex]]&lt;=30,"Low",IF(StudentData[[#This Row],[RiskIndex]]&lt;=60,"Medium","High"))</f>
        <v>Low</v>
      </c>
      <c r="AP437">
        <f>StudentData[[#This Row],[G3]]+('Intervention Simulator'!$C$2*1.5)</f>
        <v>10</v>
      </c>
      <c r="AQ437" t="str">
        <f>IF(StudentData[[#This Row],[ProjectedGrade]]&gt;=10,"Pass","Fail")</f>
        <v>Pass</v>
      </c>
    </row>
    <row r="438" spans="1:43" x14ac:dyDescent="0.3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  <c r="AH438" t="str">
        <f>IF(StudentData[[#This Row],[G3]]&gt;=10,"Pass","Fail")</f>
        <v>Fail</v>
      </c>
      <c r="AI438">
        <f>IF(StudentData[[#This Row],[G3]]&lt;StudentData[[#This Row],[G2]],1,0)</f>
        <v>0</v>
      </c>
      <c r="AJ438">
        <f>IF(StudentData[[#This Row],[failures]]&gt;=2,100,IF(StudentData[[#This Row],[failures]]=1,60,0))</f>
        <v>60</v>
      </c>
      <c r="AK438">
        <f>IF(StudentData[[#This Row],[absences]]&gt;15,80,IF(StudentData[[#This Row],[absences]]&gt;10,50,0))</f>
        <v>0</v>
      </c>
      <c r="AL438">
        <f>IF(StudentData[[#This Row],[studytime]]=1,70,IF(StudentData[[#This Row],[studytime]]=2,40,0))</f>
        <v>70</v>
      </c>
      <c r="AM438">
        <f>IF(StudentData[[#This Row],[GradeDrop]]=1,50,0)</f>
        <v>0</v>
      </c>
      <c r="AN438">
        <f>0.4*StudentData[[#This Row],[FailureScore]]+0.3*StudentData[[#This Row],[AbsenceScore]]+0.2*StudentData[[#This Row],[StudyRisk]]+0.1*StudentData[[#This Row],[TrendRisk]]</f>
        <v>38</v>
      </c>
      <c r="AO438" t="str">
        <f>IF(StudentData[[#This Row],[RiskIndex]]&lt;=30,"Low",IF(StudentData[[#This Row],[RiskIndex]]&lt;=60,"Medium","High"))</f>
        <v>Medium</v>
      </c>
      <c r="AP438">
        <f>StudentData[[#This Row],[G3]]+('Intervention Simulator'!$C$2*1.5)</f>
        <v>8</v>
      </c>
      <c r="AQ438" t="str">
        <f>IF(StudentData[[#This Row],[ProjectedGrade]]&gt;=10,"Pass","Fail")</f>
        <v>Fail</v>
      </c>
    </row>
    <row r="439" spans="1:43" x14ac:dyDescent="0.3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  <c r="AH439" t="str">
        <f>IF(StudentData[[#This Row],[G3]]&gt;=10,"Pass","Fail")</f>
        <v>Pass</v>
      </c>
      <c r="AI439">
        <f>IF(StudentData[[#This Row],[G3]]&lt;StudentData[[#This Row],[G2]],1,0)</f>
        <v>0</v>
      </c>
      <c r="AJ439">
        <f>IF(StudentData[[#This Row],[failures]]&gt;=2,100,IF(StudentData[[#This Row],[failures]]=1,60,0))</f>
        <v>0</v>
      </c>
      <c r="AK439">
        <f>IF(StudentData[[#This Row],[absences]]&gt;15,80,IF(StudentData[[#This Row],[absences]]&gt;10,50,0))</f>
        <v>0</v>
      </c>
      <c r="AL439">
        <f>IF(StudentData[[#This Row],[studytime]]=1,70,IF(StudentData[[#This Row],[studytime]]=2,40,0))</f>
        <v>70</v>
      </c>
      <c r="AM439">
        <f>IF(StudentData[[#This Row],[GradeDrop]]=1,50,0)</f>
        <v>0</v>
      </c>
      <c r="AN439">
        <f>0.4*StudentData[[#This Row],[FailureScore]]+0.3*StudentData[[#This Row],[AbsenceScore]]+0.2*StudentData[[#This Row],[StudyRisk]]+0.1*StudentData[[#This Row],[TrendRisk]]</f>
        <v>14</v>
      </c>
      <c r="AO439" t="str">
        <f>IF(StudentData[[#This Row],[RiskIndex]]&lt;=30,"Low",IF(StudentData[[#This Row],[RiskIndex]]&lt;=60,"Medium","High"))</f>
        <v>Low</v>
      </c>
      <c r="AP439">
        <f>StudentData[[#This Row],[G3]]+('Intervention Simulator'!$C$2*1.5)</f>
        <v>12</v>
      </c>
      <c r="AQ439" t="str">
        <f>IF(StudentData[[#This Row],[ProjectedGrade]]&gt;=10,"Pass","Fail")</f>
        <v>Pass</v>
      </c>
    </row>
    <row r="440" spans="1:43" x14ac:dyDescent="0.3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  <c r="AH440" t="str">
        <f>IF(StudentData[[#This Row],[G3]]&gt;=10,"Pass","Fail")</f>
        <v>Pass</v>
      </c>
      <c r="AI440">
        <f>IF(StudentData[[#This Row],[G3]]&lt;StudentData[[#This Row],[G2]],1,0)</f>
        <v>0</v>
      </c>
      <c r="AJ440">
        <f>IF(StudentData[[#This Row],[failures]]&gt;=2,100,IF(StudentData[[#This Row],[failures]]=1,60,0))</f>
        <v>0</v>
      </c>
      <c r="AK440">
        <f>IF(StudentData[[#This Row],[absences]]&gt;15,80,IF(StudentData[[#This Row],[absences]]&gt;10,50,0))</f>
        <v>0</v>
      </c>
      <c r="AL440">
        <f>IF(StudentData[[#This Row],[studytime]]=1,70,IF(StudentData[[#This Row],[studytime]]=2,40,0))</f>
        <v>70</v>
      </c>
      <c r="AM440">
        <f>IF(StudentData[[#This Row],[GradeDrop]]=1,50,0)</f>
        <v>0</v>
      </c>
      <c r="AN440">
        <f>0.4*StudentData[[#This Row],[FailureScore]]+0.3*StudentData[[#This Row],[AbsenceScore]]+0.2*StudentData[[#This Row],[StudyRisk]]+0.1*StudentData[[#This Row],[TrendRisk]]</f>
        <v>14</v>
      </c>
      <c r="AO440" t="str">
        <f>IF(StudentData[[#This Row],[RiskIndex]]&lt;=30,"Low",IF(StudentData[[#This Row],[RiskIndex]]&lt;=60,"Medium","High"))</f>
        <v>Low</v>
      </c>
      <c r="AP440">
        <f>StudentData[[#This Row],[G3]]+('Intervention Simulator'!$C$2*1.5)</f>
        <v>12</v>
      </c>
      <c r="AQ440" t="str">
        <f>IF(StudentData[[#This Row],[ProjectedGrade]]&gt;=10,"Pass","Fail")</f>
        <v>Pass</v>
      </c>
    </row>
    <row r="441" spans="1:43" x14ac:dyDescent="0.3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  <c r="AH441" t="str">
        <f>IF(StudentData[[#This Row],[G3]]&gt;=10,"Pass","Fail")</f>
        <v>Pass</v>
      </c>
      <c r="AI441">
        <f>IF(StudentData[[#This Row],[G3]]&lt;StudentData[[#This Row],[G2]],1,0)</f>
        <v>0</v>
      </c>
      <c r="AJ441">
        <f>IF(StudentData[[#This Row],[failures]]&gt;=2,100,IF(StudentData[[#This Row],[failures]]=1,60,0))</f>
        <v>0</v>
      </c>
      <c r="AK441">
        <f>IF(StudentData[[#This Row],[absences]]&gt;15,80,IF(StudentData[[#This Row],[absences]]&gt;10,50,0))</f>
        <v>0</v>
      </c>
      <c r="AL441">
        <f>IF(StudentData[[#This Row],[studytime]]=1,70,IF(StudentData[[#This Row],[studytime]]=2,40,0))</f>
        <v>70</v>
      </c>
      <c r="AM441">
        <f>IF(StudentData[[#This Row],[GradeDrop]]=1,50,0)</f>
        <v>0</v>
      </c>
      <c r="AN441">
        <f>0.4*StudentData[[#This Row],[FailureScore]]+0.3*StudentData[[#This Row],[AbsenceScore]]+0.2*StudentData[[#This Row],[StudyRisk]]+0.1*StudentData[[#This Row],[TrendRisk]]</f>
        <v>14</v>
      </c>
      <c r="AO441" t="str">
        <f>IF(StudentData[[#This Row],[RiskIndex]]&lt;=30,"Low",IF(StudentData[[#This Row],[RiskIndex]]&lt;=60,"Medium","High"))</f>
        <v>Low</v>
      </c>
      <c r="AP441">
        <f>StudentData[[#This Row],[G3]]+('Intervention Simulator'!$C$2*1.5)</f>
        <v>16</v>
      </c>
      <c r="AQ441" t="str">
        <f>IF(StudentData[[#This Row],[ProjectedGrade]]&gt;=10,"Pass","Fail")</f>
        <v>Pass</v>
      </c>
    </row>
    <row r="442" spans="1:43" x14ac:dyDescent="0.3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  <c r="AH442" t="str">
        <f>IF(StudentData[[#This Row],[G3]]&gt;=10,"Pass","Fail")</f>
        <v>Fail</v>
      </c>
      <c r="AI442">
        <f>IF(StudentData[[#This Row],[G3]]&lt;StudentData[[#This Row],[G2]],1,0)</f>
        <v>0</v>
      </c>
      <c r="AJ442">
        <f>IF(StudentData[[#This Row],[failures]]&gt;=2,100,IF(StudentData[[#This Row],[failures]]=1,60,0))</f>
        <v>0</v>
      </c>
      <c r="AK442">
        <f>IF(StudentData[[#This Row],[absences]]&gt;15,80,IF(StudentData[[#This Row],[absences]]&gt;10,50,0))</f>
        <v>0</v>
      </c>
      <c r="AL442">
        <f>IF(StudentData[[#This Row],[studytime]]=1,70,IF(StudentData[[#This Row],[studytime]]=2,40,0))</f>
        <v>40</v>
      </c>
      <c r="AM442">
        <f>IF(StudentData[[#This Row],[GradeDrop]]=1,50,0)</f>
        <v>0</v>
      </c>
      <c r="AN442">
        <f>0.4*StudentData[[#This Row],[FailureScore]]+0.3*StudentData[[#This Row],[AbsenceScore]]+0.2*StudentData[[#This Row],[StudyRisk]]+0.1*StudentData[[#This Row],[TrendRisk]]</f>
        <v>8</v>
      </c>
      <c r="AO442" t="str">
        <f>IF(StudentData[[#This Row],[RiskIndex]]&lt;=30,"Low",IF(StudentData[[#This Row],[RiskIndex]]&lt;=60,"Medium","High"))</f>
        <v>Low</v>
      </c>
      <c r="AP442">
        <f>StudentData[[#This Row],[G3]]+('Intervention Simulator'!$C$2*1.5)</f>
        <v>0</v>
      </c>
      <c r="AQ442" t="str">
        <f>IF(StudentData[[#This Row],[ProjectedGrade]]&gt;=10,"Pass","Fail")</f>
        <v>Fail</v>
      </c>
    </row>
    <row r="443" spans="1:43" x14ac:dyDescent="0.3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  <c r="AH443" t="str">
        <f>IF(StudentData[[#This Row],[G3]]&gt;=10,"Pass","Fail")</f>
        <v>Fail</v>
      </c>
      <c r="AI443">
        <f>IF(StudentData[[#This Row],[G3]]&lt;StudentData[[#This Row],[G2]],1,0)</f>
        <v>0</v>
      </c>
      <c r="AJ443">
        <f>IF(StudentData[[#This Row],[failures]]&gt;=2,100,IF(StudentData[[#This Row],[failures]]=1,60,0))</f>
        <v>0</v>
      </c>
      <c r="AK443">
        <f>IF(StudentData[[#This Row],[absences]]&gt;15,80,IF(StudentData[[#This Row],[absences]]&gt;10,50,0))</f>
        <v>0</v>
      </c>
      <c r="AL443">
        <f>IF(StudentData[[#This Row],[studytime]]=1,70,IF(StudentData[[#This Row],[studytime]]=2,40,0))</f>
        <v>40</v>
      </c>
      <c r="AM443">
        <f>IF(StudentData[[#This Row],[GradeDrop]]=1,50,0)</f>
        <v>0</v>
      </c>
      <c r="AN443">
        <f>0.4*StudentData[[#This Row],[FailureScore]]+0.3*StudentData[[#This Row],[AbsenceScore]]+0.2*StudentData[[#This Row],[StudyRisk]]+0.1*StudentData[[#This Row],[TrendRisk]]</f>
        <v>8</v>
      </c>
      <c r="AO443" t="str">
        <f>IF(StudentData[[#This Row],[RiskIndex]]&lt;=30,"Low",IF(StudentData[[#This Row],[RiskIndex]]&lt;=60,"Medium","High"))</f>
        <v>Low</v>
      </c>
      <c r="AP443">
        <f>StudentData[[#This Row],[G3]]+('Intervention Simulator'!$C$2*1.5)</f>
        <v>9</v>
      </c>
      <c r="AQ443" t="str">
        <f>IF(StudentData[[#This Row],[ProjectedGrade]]&gt;=10,"Pass","Fail")</f>
        <v>Fail</v>
      </c>
    </row>
    <row r="444" spans="1:43" x14ac:dyDescent="0.3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  <c r="AH444" t="str">
        <f>IF(StudentData[[#This Row],[G3]]&gt;=10,"Pass","Fail")</f>
        <v>Pass</v>
      </c>
      <c r="AI444">
        <f>IF(StudentData[[#This Row],[G3]]&lt;StudentData[[#This Row],[G2]],1,0)</f>
        <v>0</v>
      </c>
      <c r="AJ444">
        <f>IF(StudentData[[#This Row],[failures]]&gt;=2,100,IF(StudentData[[#This Row],[failures]]=1,60,0))</f>
        <v>0</v>
      </c>
      <c r="AK444">
        <f>IF(StudentData[[#This Row],[absences]]&gt;15,80,IF(StudentData[[#This Row],[absences]]&gt;10,50,0))</f>
        <v>0</v>
      </c>
      <c r="AL444">
        <f>IF(StudentData[[#This Row],[studytime]]=1,70,IF(StudentData[[#This Row],[studytime]]=2,40,0))</f>
        <v>40</v>
      </c>
      <c r="AM444">
        <f>IF(StudentData[[#This Row],[GradeDrop]]=1,50,0)</f>
        <v>0</v>
      </c>
      <c r="AN444">
        <f>0.4*StudentData[[#This Row],[FailureScore]]+0.3*StudentData[[#This Row],[AbsenceScore]]+0.2*StudentData[[#This Row],[StudyRisk]]+0.1*StudentData[[#This Row],[TrendRisk]]</f>
        <v>8</v>
      </c>
      <c r="AO444" t="str">
        <f>IF(StudentData[[#This Row],[RiskIndex]]&lt;=30,"Low",IF(StudentData[[#This Row],[RiskIndex]]&lt;=60,"Medium","High"))</f>
        <v>Low</v>
      </c>
      <c r="AP444">
        <f>StudentData[[#This Row],[G3]]+('Intervention Simulator'!$C$2*1.5)</f>
        <v>14</v>
      </c>
      <c r="AQ444" t="str">
        <f>IF(StudentData[[#This Row],[ProjectedGrade]]&gt;=10,"Pass","Fail")</f>
        <v>Pass</v>
      </c>
    </row>
    <row r="445" spans="1:43" x14ac:dyDescent="0.3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  <c r="AH445" t="str">
        <f>IF(StudentData[[#This Row],[G3]]&gt;=10,"Pass","Fail")</f>
        <v>Fail</v>
      </c>
      <c r="AI445">
        <f>IF(StudentData[[#This Row],[G3]]&lt;StudentData[[#This Row],[G2]],1,0)</f>
        <v>1</v>
      </c>
      <c r="AJ445">
        <f>IF(StudentData[[#This Row],[failures]]&gt;=2,100,IF(StudentData[[#This Row],[failures]]=1,60,0))</f>
        <v>0</v>
      </c>
      <c r="AK445">
        <f>IF(StudentData[[#This Row],[absences]]&gt;15,80,IF(StudentData[[#This Row],[absences]]&gt;10,50,0))</f>
        <v>0</v>
      </c>
      <c r="AL445">
        <f>IF(StudentData[[#This Row],[studytime]]=1,70,IF(StudentData[[#This Row],[studytime]]=2,40,0))</f>
        <v>40</v>
      </c>
      <c r="AM445">
        <f>IF(StudentData[[#This Row],[GradeDrop]]=1,50,0)</f>
        <v>50</v>
      </c>
      <c r="AN445">
        <f>0.4*StudentData[[#This Row],[FailureScore]]+0.3*StudentData[[#This Row],[AbsenceScore]]+0.2*StudentData[[#This Row],[StudyRisk]]+0.1*StudentData[[#This Row],[TrendRisk]]</f>
        <v>13</v>
      </c>
      <c r="AO445" t="str">
        <f>IF(StudentData[[#This Row],[RiskIndex]]&lt;=30,"Low",IF(StudentData[[#This Row],[RiskIndex]]&lt;=60,"Medium","High"))</f>
        <v>Low</v>
      </c>
      <c r="AP445">
        <f>StudentData[[#This Row],[G3]]+('Intervention Simulator'!$C$2*1.5)</f>
        <v>8</v>
      </c>
      <c r="AQ445" t="str">
        <f>IF(StudentData[[#This Row],[ProjectedGrade]]&gt;=10,"Pass","Fail")</f>
        <v>Fail</v>
      </c>
    </row>
    <row r="446" spans="1:43" x14ac:dyDescent="0.3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  <c r="AH446" t="str">
        <f>IF(StudentData[[#This Row],[G3]]&gt;=10,"Pass","Fail")</f>
        <v>Pass</v>
      </c>
      <c r="AI446">
        <f>IF(StudentData[[#This Row],[G3]]&lt;StudentData[[#This Row],[G2]],1,0)</f>
        <v>0</v>
      </c>
      <c r="AJ446">
        <f>IF(StudentData[[#This Row],[failures]]&gt;=2,100,IF(StudentData[[#This Row],[failures]]=1,60,0))</f>
        <v>0</v>
      </c>
      <c r="AK446">
        <f>IF(StudentData[[#This Row],[absences]]&gt;15,80,IF(StudentData[[#This Row],[absences]]&gt;10,50,0))</f>
        <v>0</v>
      </c>
      <c r="AL446">
        <f>IF(StudentData[[#This Row],[studytime]]=1,70,IF(StudentData[[#This Row],[studytime]]=2,40,0))</f>
        <v>40</v>
      </c>
      <c r="AM446">
        <f>IF(StudentData[[#This Row],[GradeDrop]]=1,50,0)</f>
        <v>0</v>
      </c>
      <c r="AN446">
        <f>0.4*StudentData[[#This Row],[FailureScore]]+0.3*StudentData[[#This Row],[AbsenceScore]]+0.2*StudentData[[#This Row],[StudyRisk]]+0.1*StudentData[[#This Row],[TrendRisk]]</f>
        <v>8</v>
      </c>
      <c r="AO446" t="str">
        <f>IF(StudentData[[#This Row],[RiskIndex]]&lt;=30,"Low",IF(StudentData[[#This Row],[RiskIndex]]&lt;=60,"Medium","High"))</f>
        <v>Low</v>
      </c>
      <c r="AP446">
        <f>StudentData[[#This Row],[G3]]+('Intervention Simulator'!$C$2*1.5)</f>
        <v>11</v>
      </c>
      <c r="AQ446" t="str">
        <f>IF(StudentData[[#This Row],[ProjectedGrade]]&gt;=10,"Pass","Fail")</f>
        <v>Pass</v>
      </c>
    </row>
    <row r="447" spans="1:43" x14ac:dyDescent="0.3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  <c r="AH447" t="str">
        <f>IF(StudentData[[#This Row],[G3]]&gt;=10,"Pass","Fail")</f>
        <v>Fail</v>
      </c>
      <c r="AI447">
        <f>IF(StudentData[[#This Row],[G3]]&lt;StudentData[[#This Row],[G2]],1,0)</f>
        <v>0</v>
      </c>
      <c r="AJ447">
        <f>IF(StudentData[[#This Row],[failures]]&gt;=2,100,IF(StudentData[[#This Row],[failures]]=1,60,0))</f>
        <v>0</v>
      </c>
      <c r="AK447">
        <f>IF(StudentData[[#This Row],[absences]]&gt;15,80,IF(StudentData[[#This Row],[absences]]&gt;10,50,0))</f>
        <v>0</v>
      </c>
      <c r="AL447">
        <f>IF(StudentData[[#This Row],[studytime]]=1,70,IF(StudentData[[#This Row],[studytime]]=2,40,0))</f>
        <v>40</v>
      </c>
      <c r="AM447">
        <f>IF(StudentData[[#This Row],[GradeDrop]]=1,50,0)</f>
        <v>0</v>
      </c>
      <c r="AN447">
        <f>0.4*StudentData[[#This Row],[FailureScore]]+0.3*StudentData[[#This Row],[AbsenceScore]]+0.2*StudentData[[#This Row],[StudyRisk]]+0.1*StudentData[[#This Row],[TrendRisk]]</f>
        <v>8</v>
      </c>
      <c r="AO447" t="str">
        <f>IF(StudentData[[#This Row],[RiskIndex]]&lt;=30,"Low",IF(StudentData[[#This Row],[RiskIndex]]&lt;=60,"Medium","High"))</f>
        <v>Low</v>
      </c>
      <c r="AP447">
        <f>StudentData[[#This Row],[G3]]+('Intervention Simulator'!$C$2*1.5)</f>
        <v>9</v>
      </c>
      <c r="AQ447" t="str">
        <f>IF(StudentData[[#This Row],[ProjectedGrade]]&gt;=10,"Pass","Fail")</f>
        <v>Fail</v>
      </c>
    </row>
    <row r="448" spans="1:43" x14ac:dyDescent="0.3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  <c r="AH448" t="str">
        <f>IF(StudentData[[#This Row],[G3]]&gt;=10,"Pass","Fail")</f>
        <v>Pass</v>
      </c>
      <c r="AI448">
        <f>IF(StudentData[[#This Row],[G3]]&lt;StudentData[[#This Row],[G2]],1,0)</f>
        <v>0</v>
      </c>
      <c r="AJ448">
        <f>IF(StudentData[[#This Row],[failures]]&gt;=2,100,IF(StudentData[[#This Row],[failures]]=1,60,0))</f>
        <v>0</v>
      </c>
      <c r="AK448">
        <f>IF(StudentData[[#This Row],[absences]]&gt;15,80,IF(StudentData[[#This Row],[absences]]&gt;10,50,0))</f>
        <v>0</v>
      </c>
      <c r="AL448">
        <f>IF(StudentData[[#This Row],[studytime]]=1,70,IF(StudentData[[#This Row],[studytime]]=2,40,0))</f>
        <v>40</v>
      </c>
      <c r="AM448">
        <f>IF(StudentData[[#This Row],[GradeDrop]]=1,50,0)</f>
        <v>0</v>
      </c>
      <c r="AN448">
        <f>0.4*StudentData[[#This Row],[FailureScore]]+0.3*StudentData[[#This Row],[AbsenceScore]]+0.2*StudentData[[#This Row],[StudyRisk]]+0.1*StudentData[[#This Row],[TrendRisk]]</f>
        <v>8</v>
      </c>
      <c r="AO448" t="str">
        <f>IF(StudentData[[#This Row],[RiskIndex]]&lt;=30,"Low",IF(StudentData[[#This Row],[RiskIndex]]&lt;=60,"Medium","High"))</f>
        <v>Low</v>
      </c>
      <c r="AP448">
        <f>StudentData[[#This Row],[G3]]+('Intervention Simulator'!$C$2*1.5)</f>
        <v>11</v>
      </c>
      <c r="AQ448" t="str">
        <f>IF(StudentData[[#This Row],[ProjectedGrade]]&gt;=10,"Pass","Fail")</f>
        <v>Pass</v>
      </c>
    </row>
    <row r="449" spans="1:43" x14ac:dyDescent="0.3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  <c r="AH449" t="str">
        <f>IF(StudentData[[#This Row],[G3]]&gt;=10,"Pass","Fail")</f>
        <v>Fail</v>
      </c>
      <c r="AI449">
        <f>IF(StudentData[[#This Row],[G3]]&lt;StudentData[[#This Row],[G2]],1,0)</f>
        <v>1</v>
      </c>
      <c r="AJ449">
        <f>IF(StudentData[[#This Row],[failures]]&gt;=2,100,IF(StudentData[[#This Row],[failures]]=1,60,0))</f>
        <v>0</v>
      </c>
      <c r="AK449">
        <f>IF(StudentData[[#This Row],[absences]]&gt;15,80,IF(StudentData[[#This Row],[absences]]&gt;10,50,0))</f>
        <v>0</v>
      </c>
      <c r="AL449">
        <f>IF(StudentData[[#This Row],[studytime]]=1,70,IF(StudentData[[#This Row],[studytime]]=2,40,0))</f>
        <v>70</v>
      </c>
      <c r="AM449">
        <f>IF(StudentData[[#This Row],[GradeDrop]]=1,50,0)</f>
        <v>50</v>
      </c>
      <c r="AN449">
        <f>0.4*StudentData[[#This Row],[FailureScore]]+0.3*StudentData[[#This Row],[AbsenceScore]]+0.2*StudentData[[#This Row],[StudyRisk]]+0.1*StudentData[[#This Row],[TrendRisk]]</f>
        <v>19</v>
      </c>
      <c r="AO449" t="str">
        <f>IF(StudentData[[#This Row],[RiskIndex]]&lt;=30,"Low",IF(StudentData[[#This Row],[RiskIndex]]&lt;=60,"Medium","High"))</f>
        <v>Low</v>
      </c>
      <c r="AP449">
        <f>StudentData[[#This Row],[G3]]+('Intervention Simulator'!$C$2*1.5)</f>
        <v>9</v>
      </c>
      <c r="AQ449" t="str">
        <f>IF(StudentData[[#This Row],[ProjectedGrade]]&gt;=10,"Pass","Fail")</f>
        <v>Fail</v>
      </c>
    </row>
    <row r="450" spans="1:43" x14ac:dyDescent="0.3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  <c r="AH450" t="str">
        <f>IF(StudentData[[#This Row],[G3]]&gt;=10,"Pass","Fail")</f>
        <v>Pass</v>
      </c>
      <c r="AI450">
        <f>IF(StudentData[[#This Row],[G3]]&lt;StudentData[[#This Row],[G2]],1,0)</f>
        <v>0</v>
      </c>
      <c r="AJ450">
        <f>IF(StudentData[[#This Row],[failures]]&gt;=2,100,IF(StudentData[[#This Row],[failures]]=1,60,0))</f>
        <v>0</v>
      </c>
      <c r="AK450">
        <f>IF(StudentData[[#This Row],[absences]]&gt;15,80,IF(StudentData[[#This Row],[absences]]&gt;10,50,0))</f>
        <v>0</v>
      </c>
      <c r="AL450">
        <f>IF(StudentData[[#This Row],[studytime]]=1,70,IF(StudentData[[#This Row],[studytime]]=2,40,0))</f>
        <v>0</v>
      </c>
      <c r="AM450">
        <f>IF(StudentData[[#This Row],[GradeDrop]]=1,50,0)</f>
        <v>0</v>
      </c>
      <c r="AN450">
        <f>0.4*StudentData[[#This Row],[FailureScore]]+0.3*StudentData[[#This Row],[AbsenceScore]]+0.2*StudentData[[#This Row],[StudyRisk]]+0.1*StudentData[[#This Row],[TrendRisk]]</f>
        <v>0</v>
      </c>
      <c r="AO450" t="str">
        <f>IF(StudentData[[#This Row],[RiskIndex]]&lt;=30,"Low",IF(StudentData[[#This Row],[RiskIndex]]&lt;=60,"Medium","High"))</f>
        <v>Low</v>
      </c>
      <c r="AP450">
        <f>StudentData[[#This Row],[G3]]+('Intervention Simulator'!$C$2*1.5)</f>
        <v>17</v>
      </c>
      <c r="AQ450" t="str">
        <f>IF(StudentData[[#This Row],[ProjectedGrade]]&gt;=10,"Pass","Fail")</f>
        <v>Pass</v>
      </c>
    </row>
    <row r="451" spans="1:43" x14ac:dyDescent="0.3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  <c r="AH451" t="str">
        <f>IF(StudentData[[#This Row],[G3]]&gt;=10,"Pass","Fail")</f>
        <v>Pass</v>
      </c>
      <c r="AI451">
        <f>IF(StudentData[[#This Row],[G3]]&lt;StudentData[[#This Row],[G2]],1,0)</f>
        <v>0</v>
      </c>
      <c r="AJ451">
        <f>IF(StudentData[[#This Row],[failures]]&gt;=2,100,IF(StudentData[[#This Row],[failures]]=1,60,0))</f>
        <v>0</v>
      </c>
      <c r="AK451">
        <f>IF(StudentData[[#This Row],[absences]]&gt;15,80,IF(StudentData[[#This Row],[absences]]&gt;10,50,0))</f>
        <v>0</v>
      </c>
      <c r="AL451">
        <f>IF(StudentData[[#This Row],[studytime]]=1,70,IF(StudentData[[#This Row],[studytime]]=2,40,0))</f>
        <v>70</v>
      </c>
      <c r="AM451">
        <f>IF(StudentData[[#This Row],[GradeDrop]]=1,50,0)</f>
        <v>0</v>
      </c>
      <c r="AN451">
        <f>0.4*StudentData[[#This Row],[FailureScore]]+0.3*StudentData[[#This Row],[AbsenceScore]]+0.2*StudentData[[#This Row],[StudyRisk]]+0.1*StudentData[[#This Row],[TrendRisk]]</f>
        <v>14</v>
      </c>
      <c r="AO451" t="str">
        <f>IF(StudentData[[#This Row],[RiskIndex]]&lt;=30,"Low",IF(StudentData[[#This Row],[RiskIndex]]&lt;=60,"Medium","High"))</f>
        <v>Low</v>
      </c>
      <c r="AP451">
        <f>StudentData[[#This Row],[G3]]+('Intervention Simulator'!$C$2*1.5)</f>
        <v>13</v>
      </c>
      <c r="AQ451" t="str">
        <f>IF(StudentData[[#This Row],[ProjectedGrade]]&gt;=10,"Pass","Fail")</f>
        <v>Pass</v>
      </c>
    </row>
    <row r="452" spans="1:43" x14ac:dyDescent="0.3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  <c r="AH452" t="str">
        <f>IF(StudentData[[#This Row],[G3]]&gt;=10,"Pass","Fail")</f>
        <v>Pass</v>
      </c>
      <c r="AI452">
        <f>IF(StudentData[[#This Row],[G3]]&lt;StudentData[[#This Row],[G2]],1,0)</f>
        <v>0</v>
      </c>
      <c r="AJ452">
        <f>IF(StudentData[[#This Row],[failures]]&gt;=2,100,IF(StudentData[[#This Row],[failures]]=1,60,0))</f>
        <v>0</v>
      </c>
      <c r="AK452">
        <f>IF(StudentData[[#This Row],[absences]]&gt;15,80,IF(StudentData[[#This Row],[absences]]&gt;10,50,0))</f>
        <v>0</v>
      </c>
      <c r="AL452">
        <f>IF(StudentData[[#This Row],[studytime]]=1,70,IF(StudentData[[#This Row],[studytime]]=2,40,0))</f>
        <v>40</v>
      </c>
      <c r="AM452">
        <f>IF(StudentData[[#This Row],[GradeDrop]]=1,50,0)</f>
        <v>0</v>
      </c>
      <c r="AN452">
        <f>0.4*StudentData[[#This Row],[FailureScore]]+0.3*StudentData[[#This Row],[AbsenceScore]]+0.2*StudentData[[#This Row],[StudyRisk]]+0.1*StudentData[[#This Row],[TrendRisk]]</f>
        <v>8</v>
      </c>
      <c r="AO452" t="str">
        <f>IF(StudentData[[#This Row],[RiskIndex]]&lt;=30,"Low",IF(StudentData[[#This Row],[RiskIndex]]&lt;=60,"Medium","High"))</f>
        <v>Low</v>
      </c>
      <c r="AP452">
        <f>StudentData[[#This Row],[G3]]+('Intervention Simulator'!$C$2*1.5)</f>
        <v>15</v>
      </c>
      <c r="AQ452" t="str">
        <f>IF(StudentData[[#This Row],[ProjectedGrade]]&gt;=10,"Pass","Fail")</f>
        <v>Pass</v>
      </c>
    </row>
    <row r="453" spans="1:43" x14ac:dyDescent="0.3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  <c r="AH453" t="str">
        <f>IF(StudentData[[#This Row],[G3]]&gt;=10,"Pass","Fail")</f>
        <v>Pass</v>
      </c>
      <c r="AI453">
        <f>IF(StudentData[[#This Row],[G3]]&lt;StudentData[[#This Row],[G2]],1,0)</f>
        <v>0</v>
      </c>
      <c r="AJ453">
        <f>IF(StudentData[[#This Row],[failures]]&gt;=2,100,IF(StudentData[[#This Row],[failures]]=1,60,0))</f>
        <v>0</v>
      </c>
      <c r="AK453">
        <f>IF(StudentData[[#This Row],[absences]]&gt;15,80,IF(StudentData[[#This Row],[absences]]&gt;10,50,0))</f>
        <v>0</v>
      </c>
      <c r="AL453">
        <f>IF(StudentData[[#This Row],[studytime]]=1,70,IF(StudentData[[#This Row],[studytime]]=2,40,0))</f>
        <v>40</v>
      </c>
      <c r="AM453">
        <f>IF(StudentData[[#This Row],[GradeDrop]]=1,50,0)</f>
        <v>0</v>
      </c>
      <c r="AN453">
        <f>0.4*StudentData[[#This Row],[FailureScore]]+0.3*StudentData[[#This Row],[AbsenceScore]]+0.2*StudentData[[#This Row],[StudyRisk]]+0.1*StudentData[[#This Row],[TrendRisk]]</f>
        <v>8</v>
      </c>
      <c r="AO453" t="str">
        <f>IF(StudentData[[#This Row],[RiskIndex]]&lt;=30,"Low",IF(StudentData[[#This Row],[RiskIndex]]&lt;=60,"Medium","High"))</f>
        <v>Low</v>
      </c>
      <c r="AP453">
        <f>StudentData[[#This Row],[G3]]+('Intervention Simulator'!$C$2*1.5)</f>
        <v>11</v>
      </c>
      <c r="AQ453" t="str">
        <f>IF(StudentData[[#This Row],[ProjectedGrade]]&gt;=10,"Pass","Fail")</f>
        <v>Pass</v>
      </c>
    </row>
    <row r="454" spans="1:43" x14ac:dyDescent="0.3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  <c r="AH454" t="str">
        <f>IF(StudentData[[#This Row],[G3]]&gt;=10,"Pass","Fail")</f>
        <v>Pass</v>
      </c>
      <c r="AI454">
        <f>IF(StudentData[[#This Row],[G3]]&lt;StudentData[[#This Row],[G2]],1,0)</f>
        <v>0</v>
      </c>
      <c r="AJ454">
        <f>IF(StudentData[[#This Row],[failures]]&gt;=2,100,IF(StudentData[[#This Row],[failures]]=1,60,0))</f>
        <v>0</v>
      </c>
      <c r="AK454">
        <f>IF(StudentData[[#This Row],[absences]]&gt;15,80,IF(StudentData[[#This Row],[absences]]&gt;10,50,0))</f>
        <v>0</v>
      </c>
      <c r="AL454">
        <f>IF(StudentData[[#This Row],[studytime]]=1,70,IF(StudentData[[#This Row],[studytime]]=2,40,0))</f>
        <v>40</v>
      </c>
      <c r="AM454">
        <f>IF(StudentData[[#This Row],[GradeDrop]]=1,50,0)</f>
        <v>0</v>
      </c>
      <c r="AN454">
        <f>0.4*StudentData[[#This Row],[FailureScore]]+0.3*StudentData[[#This Row],[AbsenceScore]]+0.2*StudentData[[#This Row],[StudyRisk]]+0.1*StudentData[[#This Row],[TrendRisk]]</f>
        <v>8</v>
      </c>
      <c r="AO454" t="str">
        <f>IF(StudentData[[#This Row],[RiskIndex]]&lt;=30,"Low",IF(StudentData[[#This Row],[RiskIndex]]&lt;=60,"Medium","High"))</f>
        <v>Low</v>
      </c>
      <c r="AP454">
        <f>StudentData[[#This Row],[G3]]+('Intervention Simulator'!$C$2*1.5)</f>
        <v>11</v>
      </c>
      <c r="AQ454" t="str">
        <f>IF(StudentData[[#This Row],[ProjectedGrade]]&gt;=10,"Pass","Fail")</f>
        <v>Pass</v>
      </c>
    </row>
    <row r="455" spans="1:43" x14ac:dyDescent="0.3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  <c r="AH455" t="str">
        <f>IF(StudentData[[#This Row],[G3]]&gt;=10,"Pass","Fail")</f>
        <v>Fail</v>
      </c>
      <c r="AI455">
        <f>IF(StudentData[[#This Row],[G3]]&lt;StudentData[[#This Row],[G2]],1,0)</f>
        <v>0</v>
      </c>
      <c r="AJ455">
        <f>IF(StudentData[[#This Row],[failures]]&gt;=2,100,IF(StudentData[[#This Row],[failures]]=1,60,0))</f>
        <v>60</v>
      </c>
      <c r="AK455">
        <f>IF(StudentData[[#This Row],[absences]]&gt;15,80,IF(StudentData[[#This Row],[absences]]&gt;10,50,0))</f>
        <v>0</v>
      </c>
      <c r="AL455">
        <f>IF(StudentData[[#This Row],[studytime]]=1,70,IF(StudentData[[#This Row],[studytime]]=2,40,0))</f>
        <v>0</v>
      </c>
      <c r="AM455">
        <f>IF(StudentData[[#This Row],[GradeDrop]]=1,50,0)</f>
        <v>0</v>
      </c>
      <c r="AN455">
        <f>0.4*StudentData[[#This Row],[FailureScore]]+0.3*StudentData[[#This Row],[AbsenceScore]]+0.2*StudentData[[#This Row],[StudyRisk]]+0.1*StudentData[[#This Row],[TrendRisk]]</f>
        <v>24</v>
      </c>
      <c r="AO455" t="str">
        <f>IF(StudentData[[#This Row],[RiskIndex]]&lt;=30,"Low",IF(StudentData[[#This Row],[RiskIndex]]&lt;=60,"Medium","High"))</f>
        <v>Low</v>
      </c>
      <c r="AP455">
        <f>StudentData[[#This Row],[G3]]+('Intervention Simulator'!$C$2*1.5)</f>
        <v>8</v>
      </c>
      <c r="AQ455" t="str">
        <f>IF(StudentData[[#This Row],[ProjectedGrade]]&gt;=10,"Pass","Fail")</f>
        <v>Fail</v>
      </c>
    </row>
    <row r="456" spans="1:43" x14ac:dyDescent="0.3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  <c r="AH456" t="str">
        <f>IF(StudentData[[#This Row],[G3]]&gt;=10,"Pass","Fail")</f>
        <v>Fail</v>
      </c>
      <c r="AI456">
        <f>IF(StudentData[[#This Row],[G3]]&lt;StudentData[[#This Row],[G2]],1,0)</f>
        <v>0</v>
      </c>
      <c r="AJ456">
        <f>IF(StudentData[[#This Row],[failures]]&gt;=2,100,IF(StudentData[[#This Row],[failures]]=1,60,0))</f>
        <v>60</v>
      </c>
      <c r="AK456">
        <f>IF(StudentData[[#This Row],[absences]]&gt;15,80,IF(StudentData[[#This Row],[absences]]&gt;10,50,0))</f>
        <v>0</v>
      </c>
      <c r="AL456">
        <f>IF(StudentData[[#This Row],[studytime]]=1,70,IF(StudentData[[#This Row],[studytime]]=2,40,0))</f>
        <v>0</v>
      </c>
      <c r="AM456">
        <f>IF(StudentData[[#This Row],[GradeDrop]]=1,50,0)</f>
        <v>0</v>
      </c>
      <c r="AN456">
        <f>0.4*StudentData[[#This Row],[FailureScore]]+0.3*StudentData[[#This Row],[AbsenceScore]]+0.2*StudentData[[#This Row],[StudyRisk]]+0.1*StudentData[[#This Row],[TrendRisk]]</f>
        <v>24</v>
      </c>
      <c r="AO456" t="str">
        <f>IF(StudentData[[#This Row],[RiskIndex]]&lt;=30,"Low",IF(StudentData[[#This Row],[RiskIndex]]&lt;=60,"Medium","High"))</f>
        <v>Low</v>
      </c>
      <c r="AP456">
        <f>StudentData[[#This Row],[G3]]+('Intervention Simulator'!$C$2*1.5)</f>
        <v>8</v>
      </c>
      <c r="AQ456" t="str">
        <f>IF(StudentData[[#This Row],[ProjectedGrade]]&gt;=10,"Pass","Fail")</f>
        <v>Fail</v>
      </c>
    </row>
    <row r="457" spans="1:43" x14ac:dyDescent="0.3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  <c r="AH457" t="str">
        <f>IF(StudentData[[#This Row],[G3]]&gt;=10,"Pass","Fail")</f>
        <v>Fail</v>
      </c>
      <c r="AI457">
        <f>IF(StudentData[[#This Row],[G3]]&lt;StudentData[[#This Row],[G2]],1,0)</f>
        <v>1</v>
      </c>
      <c r="AJ457">
        <f>IF(StudentData[[#This Row],[failures]]&gt;=2,100,IF(StudentData[[#This Row],[failures]]=1,60,0))</f>
        <v>0</v>
      </c>
      <c r="AK457">
        <f>IF(StudentData[[#This Row],[absences]]&gt;15,80,IF(StudentData[[#This Row],[absences]]&gt;10,50,0))</f>
        <v>0</v>
      </c>
      <c r="AL457">
        <f>IF(StudentData[[#This Row],[studytime]]=1,70,IF(StudentData[[#This Row],[studytime]]=2,40,0))</f>
        <v>40</v>
      </c>
      <c r="AM457">
        <f>IF(StudentData[[#This Row],[GradeDrop]]=1,50,0)</f>
        <v>50</v>
      </c>
      <c r="AN457">
        <f>0.4*StudentData[[#This Row],[FailureScore]]+0.3*StudentData[[#This Row],[AbsenceScore]]+0.2*StudentData[[#This Row],[StudyRisk]]+0.1*StudentData[[#This Row],[TrendRisk]]</f>
        <v>13</v>
      </c>
      <c r="AO457" t="str">
        <f>IF(StudentData[[#This Row],[RiskIndex]]&lt;=30,"Low",IF(StudentData[[#This Row],[RiskIndex]]&lt;=60,"Medium","High"))</f>
        <v>Low</v>
      </c>
      <c r="AP457">
        <f>StudentData[[#This Row],[G3]]+('Intervention Simulator'!$C$2*1.5)</f>
        <v>9</v>
      </c>
      <c r="AQ457" t="str">
        <f>IF(StudentData[[#This Row],[ProjectedGrade]]&gt;=10,"Pass","Fail")</f>
        <v>Fail</v>
      </c>
    </row>
    <row r="458" spans="1:43" x14ac:dyDescent="0.3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  <c r="AH458" t="str">
        <f>IF(StudentData[[#This Row],[G3]]&gt;=10,"Pass","Fail")</f>
        <v>Pass</v>
      </c>
      <c r="AI458">
        <f>IF(StudentData[[#This Row],[G3]]&lt;StudentData[[#This Row],[G2]],1,0)</f>
        <v>0</v>
      </c>
      <c r="AJ458">
        <f>IF(StudentData[[#This Row],[failures]]&gt;=2,100,IF(StudentData[[#This Row],[failures]]=1,60,0))</f>
        <v>0</v>
      </c>
      <c r="AK458">
        <f>IF(StudentData[[#This Row],[absences]]&gt;15,80,IF(StudentData[[#This Row],[absences]]&gt;10,50,0))</f>
        <v>0</v>
      </c>
      <c r="AL458">
        <f>IF(StudentData[[#This Row],[studytime]]=1,70,IF(StudentData[[#This Row],[studytime]]=2,40,0))</f>
        <v>40</v>
      </c>
      <c r="AM458">
        <f>IF(StudentData[[#This Row],[GradeDrop]]=1,50,0)</f>
        <v>0</v>
      </c>
      <c r="AN458">
        <f>0.4*StudentData[[#This Row],[FailureScore]]+0.3*StudentData[[#This Row],[AbsenceScore]]+0.2*StudentData[[#This Row],[StudyRisk]]+0.1*StudentData[[#This Row],[TrendRisk]]</f>
        <v>8</v>
      </c>
      <c r="AO458" t="str">
        <f>IF(StudentData[[#This Row],[RiskIndex]]&lt;=30,"Low",IF(StudentData[[#This Row],[RiskIndex]]&lt;=60,"Medium","High"))</f>
        <v>Low</v>
      </c>
      <c r="AP458">
        <f>StudentData[[#This Row],[G3]]+('Intervention Simulator'!$C$2*1.5)</f>
        <v>15</v>
      </c>
      <c r="AQ458" t="str">
        <f>IF(StudentData[[#This Row],[ProjectedGrade]]&gt;=10,"Pass","Fail")</f>
        <v>Pass</v>
      </c>
    </row>
    <row r="459" spans="1:43" x14ac:dyDescent="0.3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  <c r="AH459" t="str">
        <f>IF(StudentData[[#This Row],[G3]]&gt;=10,"Pass","Fail")</f>
        <v>Pass</v>
      </c>
      <c r="AI459">
        <f>IF(StudentData[[#This Row],[G3]]&lt;StudentData[[#This Row],[G2]],1,0)</f>
        <v>0</v>
      </c>
      <c r="AJ459">
        <f>IF(StudentData[[#This Row],[failures]]&gt;=2,100,IF(StudentData[[#This Row],[failures]]=1,60,0))</f>
        <v>0</v>
      </c>
      <c r="AK459">
        <f>IF(StudentData[[#This Row],[absences]]&gt;15,80,IF(StudentData[[#This Row],[absences]]&gt;10,50,0))</f>
        <v>0</v>
      </c>
      <c r="AL459">
        <f>IF(StudentData[[#This Row],[studytime]]=1,70,IF(StudentData[[#This Row],[studytime]]=2,40,0))</f>
        <v>70</v>
      </c>
      <c r="AM459">
        <f>IF(StudentData[[#This Row],[GradeDrop]]=1,50,0)</f>
        <v>0</v>
      </c>
      <c r="AN459">
        <f>0.4*StudentData[[#This Row],[FailureScore]]+0.3*StudentData[[#This Row],[AbsenceScore]]+0.2*StudentData[[#This Row],[StudyRisk]]+0.1*StudentData[[#This Row],[TrendRisk]]</f>
        <v>14</v>
      </c>
      <c r="AO459" t="str">
        <f>IF(StudentData[[#This Row],[RiskIndex]]&lt;=30,"Low",IF(StudentData[[#This Row],[RiskIndex]]&lt;=60,"Medium","High"))</f>
        <v>Low</v>
      </c>
      <c r="AP459">
        <f>StudentData[[#This Row],[G3]]+('Intervention Simulator'!$C$2*1.5)</f>
        <v>11</v>
      </c>
      <c r="AQ459" t="str">
        <f>IF(StudentData[[#This Row],[ProjectedGrade]]&gt;=10,"Pass","Fail")</f>
        <v>Pass</v>
      </c>
    </row>
    <row r="460" spans="1:43" x14ac:dyDescent="0.3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  <c r="AH460" t="str">
        <f>IF(StudentData[[#This Row],[G3]]&gt;=10,"Pass","Fail")</f>
        <v>Pass</v>
      </c>
      <c r="AI460">
        <f>IF(StudentData[[#This Row],[G3]]&lt;StudentData[[#This Row],[G2]],1,0)</f>
        <v>0</v>
      </c>
      <c r="AJ460">
        <f>IF(StudentData[[#This Row],[failures]]&gt;=2,100,IF(StudentData[[#This Row],[failures]]=1,60,0))</f>
        <v>0</v>
      </c>
      <c r="AK460">
        <f>IF(StudentData[[#This Row],[absences]]&gt;15,80,IF(StudentData[[#This Row],[absences]]&gt;10,50,0))</f>
        <v>0</v>
      </c>
      <c r="AL460">
        <f>IF(StudentData[[#This Row],[studytime]]=1,70,IF(StudentData[[#This Row],[studytime]]=2,40,0))</f>
        <v>0</v>
      </c>
      <c r="AM460">
        <f>IF(StudentData[[#This Row],[GradeDrop]]=1,50,0)</f>
        <v>0</v>
      </c>
      <c r="AN460">
        <f>0.4*StudentData[[#This Row],[FailureScore]]+0.3*StudentData[[#This Row],[AbsenceScore]]+0.2*StudentData[[#This Row],[StudyRisk]]+0.1*StudentData[[#This Row],[TrendRisk]]</f>
        <v>0</v>
      </c>
      <c r="AO460" t="str">
        <f>IF(StudentData[[#This Row],[RiskIndex]]&lt;=30,"Low",IF(StudentData[[#This Row],[RiskIndex]]&lt;=60,"Medium","High"))</f>
        <v>Low</v>
      </c>
      <c r="AP460">
        <f>StudentData[[#This Row],[G3]]+('Intervention Simulator'!$C$2*1.5)</f>
        <v>13</v>
      </c>
      <c r="AQ460" t="str">
        <f>IF(StudentData[[#This Row],[ProjectedGrade]]&gt;=10,"Pass","Fail")</f>
        <v>Pass</v>
      </c>
    </row>
    <row r="461" spans="1:43" x14ac:dyDescent="0.3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  <c r="AH461" t="str">
        <f>IF(StudentData[[#This Row],[G3]]&gt;=10,"Pass","Fail")</f>
        <v>Pass</v>
      </c>
      <c r="AI461">
        <f>IF(StudentData[[#This Row],[G3]]&lt;StudentData[[#This Row],[G2]],1,0)</f>
        <v>0</v>
      </c>
      <c r="AJ461">
        <f>IF(StudentData[[#This Row],[failures]]&gt;=2,100,IF(StudentData[[#This Row],[failures]]=1,60,0))</f>
        <v>0</v>
      </c>
      <c r="AK461">
        <f>IF(StudentData[[#This Row],[absences]]&gt;15,80,IF(StudentData[[#This Row],[absences]]&gt;10,50,0))</f>
        <v>0</v>
      </c>
      <c r="AL461">
        <f>IF(StudentData[[#This Row],[studytime]]=1,70,IF(StudentData[[#This Row],[studytime]]=2,40,0))</f>
        <v>0</v>
      </c>
      <c r="AM461">
        <f>IF(StudentData[[#This Row],[GradeDrop]]=1,50,0)</f>
        <v>0</v>
      </c>
      <c r="AN461">
        <f>0.4*StudentData[[#This Row],[FailureScore]]+0.3*StudentData[[#This Row],[AbsenceScore]]+0.2*StudentData[[#This Row],[StudyRisk]]+0.1*StudentData[[#This Row],[TrendRisk]]</f>
        <v>0</v>
      </c>
      <c r="AO461" t="str">
        <f>IF(StudentData[[#This Row],[RiskIndex]]&lt;=30,"Low",IF(StudentData[[#This Row],[RiskIndex]]&lt;=60,"Medium","High"))</f>
        <v>Low</v>
      </c>
      <c r="AP461">
        <f>StudentData[[#This Row],[G3]]+('Intervention Simulator'!$C$2*1.5)</f>
        <v>10</v>
      </c>
      <c r="AQ461" t="str">
        <f>IF(StudentData[[#This Row],[ProjectedGrade]]&gt;=10,"Pass","Fail")</f>
        <v>Pass</v>
      </c>
    </row>
    <row r="462" spans="1:43" x14ac:dyDescent="0.3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  <c r="AH462" t="str">
        <f>IF(StudentData[[#This Row],[G3]]&gt;=10,"Pass","Fail")</f>
        <v>Pass</v>
      </c>
      <c r="AI462">
        <f>IF(StudentData[[#This Row],[G3]]&lt;StudentData[[#This Row],[G2]],1,0)</f>
        <v>0</v>
      </c>
      <c r="AJ462">
        <f>IF(StudentData[[#This Row],[failures]]&gt;=2,100,IF(StudentData[[#This Row],[failures]]=1,60,0))</f>
        <v>0</v>
      </c>
      <c r="AK462">
        <f>IF(StudentData[[#This Row],[absences]]&gt;15,80,IF(StudentData[[#This Row],[absences]]&gt;10,50,0))</f>
        <v>0</v>
      </c>
      <c r="AL462">
        <f>IF(StudentData[[#This Row],[studytime]]=1,70,IF(StudentData[[#This Row],[studytime]]=2,40,0))</f>
        <v>40</v>
      </c>
      <c r="AM462">
        <f>IF(StudentData[[#This Row],[GradeDrop]]=1,50,0)</f>
        <v>0</v>
      </c>
      <c r="AN462">
        <f>0.4*StudentData[[#This Row],[FailureScore]]+0.3*StudentData[[#This Row],[AbsenceScore]]+0.2*StudentData[[#This Row],[StudyRisk]]+0.1*StudentData[[#This Row],[TrendRisk]]</f>
        <v>8</v>
      </c>
      <c r="AO462" t="str">
        <f>IF(StudentData[[#This Row],[RiskIndex]]&lt;=30,"Low",IF(StudentData[[#This Row],[RiskIndex]]&lt;=60,"Medium","High"))</f>
        <v>Low</v>
      </c>
      <c r="AP462">
        <f>StudentData[[#This Row],[G3]]+('Intervention Simulator'!$C$2*1.5)</f>
        <v>11</v>
      </c>
      <c r="AQ462" t="str">
        <f>IF(StudentData[[#This Row],[ProjectedGrade]]&gt;=10,"Pass","Fail")</f>
        <v>Pass</v>
      </c>
    </row>
    <row r="463" spans="1:43" x14ac:dyDescent="0.3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  <c r="AH463" t="str">
        <f>IF(StudentData[[#This Row],[G3]]&gt;=10,"Pass","Fail")</f>
        <v>Pass</v>
      </c>
      <c r="AI463">
        <f>IF(StudentData[[#This Row],[G3]]&lt;StudentData[[#This Row],[G2]],1,0)</f>
        <v>0</v>
      </c>
      <c r="AJ463">
        <f>IF(StudentData[[#This Row],[failures]]&gt;=2,100,IF(StudentData[[#This Row],[failures]]=1,60,0))</f>
        <v>0</v>
      </c>
      <c r="AK463">
        <f>IF(StudentData[[#This Row],[absences]]&gt;15,80,IF(StudentData[[#This Row],[absences]]&gt;10,50,0))</f>
        <v>0</v>
      </c>
      <c r="AL463">
        <f>IF(StudentData[[#This Row],[studytime]]=1,70,IF(StudentData[[#This Row],[studytime]]=2,40,0))</f>
        <v>70</v>
      </c>
      <c r="AM463">
        <f>IF(StudentData[[#This Row],[GradeDrop]]=1,50,0)</f>
        <v>0</v>
      </c>
      <c r="AN463">
        <f>0.4*StudentData[[#This Row],[FailureScore]]+0.3*StudentData[[#This Row],[AbsenceScore]]+0.2*StudentData[[#This Row],[StudyRisk]]+0.1*StudentData[[#This Row],[TrendRisk]]</f>
        <v>14</v>
      </c>
      <c r="AO463" t="str">
        <f>IF(StudentData[[#This Row],[RiskIndex]]&lt;=30,"Low",IF(StudentData[[#This Row],[RiskIndex]]&lt;=60,"Medium","High"))</f>
        <v>Low</v>
      </c>
      <c r="AP463">
        <f>StudentData[[#This Row],[G3]]+('Intervention Simulator'!$C$2*1.5)</f>
        <v>14</v>
      </c>
      <c r="AQ463" t="str">
        <f>IF(StudentData[[#This Row],[ProjectedGrade]]&gt;=10,"Pass","Fail")</f>
        <v>Pass</v>
      </c>
    </row>
    <row r="464" spans="1:43" x14ac:dyDescent="0.3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  <c r="AH464" t="str">
        <f>IF(StudentData[[#This Row],[G3]]&gt;=10,"Pass","Fail")</f>
        <v>Pass</v>
      </c>
      <c r="AI464">
        <f>IF(StudentData[[#This Row],[G3]]&lt;StudentData[[#This Row],[G2]],1,0)</f>
        <v>0</v>
      </c>
      <c r="AJ464">
        <f>IF(StudentData[[#This Row],[failures]]&gt;=2,100,IF(StudentData[[#This Row],[failures]]=1,60,0))</f>
        <v>0</v>
      </c>
      <c r="AK464">
        <f>IF(StudentData[[#This Row],[absences]]&gt;15,80,IF(StudentData[[#This Row],[absences]]&gt;10,50,0))</f>
        <v>0</v>
      </c>
      <c r="AL464">
        <f>IF(StudentData[[#This Row],[studytime]]=1,70,IF(StudentData[[#This Row],[studytime]]=2,40,0))</f>
        <v>40</v>
      </c>
      <c r="AM464">
        <f>IF(StudentData[[#This Row],[GradeDrop]]=1,50,0)</f>
        <v>0</v>
      </c>
      <c r="AN464">
        <f>0.4*StudentData[[#This Row],[FailureScore]]+0.3*StudentData[[#This Row],[AbsenceScore]]+0.2*StudentData[[#This Row],[StudyRisk]]+0.1*StudentData[[#This Row],[TrendRisk]]</f>
        <v>8</v>
      </c>
      <c r="AO464" t="str">
        <f>IF(StudentData[[#This Row],[RiskIndex]]&lt;=30,"Low",IF(StudentData[[#This Row],[RiskIndex]]&lt;=60,"Medium","High"))</f>
        <v>Low</v>
      </c>
      <c r="AP464">
        <f>StudentData[[#This Row],[G3]]+('Intervention Simulator'!$C$2*1.5)</f>
        <v>14</v>
      </c>
      <c r="AQ464" t="str">
        <f>IF(StudentData[[#This Row],[ProjectedGrade]]&gt;=10,"Pass","Fail")</f>
        <v>Pass</v>
      </c>
    </row>
    <row r="465" spans="1:43" x14ac:dyDescent="0.3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  <c r="AH465" t="str">
        <f>IF(StudentData[[#This Row],[G3]]&gt;=10,"Pass","Fail")</f>
        <v>Pass</v>
      </c>
      <c r="AI465">
        <f>IF(StudentData[[#This Row],[G3]]&lt;StudentData[[#This Row],[G2]],1,0)</f>
        <v>0</v>
      </c>
      <c r="AJ465">
        <f>IF(StudentData[[#This Row],[failures]]&gt;=2,100,IF(StudentData[[#This Row],[failures]]=1,60,0))</f>
        <v>0</v>
      </c>
      <c r="AK465">
        <f>IF(StudentData[[#This Row],[absences]]&gt;15,80,IF(StudentData[[#This Row],[absences]]&gt;10,50,0))</f>
        <v>0</v>
      </c>
      <c r="AL465">
        <f>IF(StudentData[[#This Row],[studytime]]=1,70,IF(StudentData[[#This Row],[studytime]]=2,40,0))</f>
        <v>0</v>
      </c>
      <c r="AM465">
        <f>IF(StudentData[[#This Row],[GradeDrop]]=1,50,0)</f>
        <v>0</v>
      </c>
      <c r="AN465">
        <f>0.4*StudentData[[#This Row],[FailureScore]]+0.3*StudentData[[#This Row],[AbsenceScore]]+0.2*StudentData[[#This Row],[StudyRisk]]+0.1*StudentData[[#This Row],[TrendRisk]]</f>
        <v>0</v>
      </c>
      <c r="AO465" t="str">
        <f>IF(StudentData[[#This Row],[RiskIndex]]&lt;=30,"Low",IF(StudentData[[#This Row],[RiskIndex]]&lt;=60,"Medium","High"))</f>
        <v>Low</v>
      </c>
      <c r="AP465">
        <f>StudentData[[#This Row],[G3]]+('Intervention Simulator'!$C$2*1.5)</f>
        <v>12</v>
      </c>
      <c r="AQ465" t="str">
        <f>IF(StudentData[[#This Row],[ProjectedGrade]]&gt;=10,"Pass","Fail")</f>
        <v>Pass</v>
      </c>
    </row>
    <row r="466" spans="1:43" x14ac:dyDescent="0.3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  <c r="AH466" t="str">
        <f>IF(StudentData[[#This Row],[G3]]&gt;=10,"Pass","Fail")</f>
        <v>Pass</v>
      </c>
      <c r="AI466">
        <f>IF(StudentData[[#This Row],[G3]]&lt;StudentData[[#This Row],[G2]],1,0)</f>
        <v>0</v>
      </c>
      <c r="AJ466">
        <f>IF(StudentData[[#This Row],[failures]]&gt;=2,100,IF(StudentData[[#This Row],[failures]]=1,60,0))</f>
        <v>0</v>
      </c>
      <c r="AK466">
        <f>IF(StudentData[[#This Row],[absences]]&gt;15,80,IF(StudentData[[#This Row],[absences]]&gt;10,50,0))</f>
        <v>0</v>
      </c>
      <c r="AL466">
        <f>IF(StudentData[[#This Row],[studytime]]=1,70,IF(StudentData[[#This Row],[studytime]]=2,40,0))</f>
        <v>70</v>
      </c>
      <c r="AM466">
        <f>IF(StudentData[[#This Row],[GradeDrop]]=1,50,0)</f>
        <v>0</v>
      </c>
      <c r="AN466">
        <f>0.4*StudentData[[#This Row],[FailureScore]]+0.3*StudentData[[#This Row],[AbsenceScore]]+0.2*StudentData[[#This Row],[StudyRisk]]+0.1*StudentData[[#This Row],[TrendRisk]]</f>
        <v>14</v>
      </c>
      <c r="AO466" t="str">
        <f>IF(StudentData[[#This Row],[RiskIndex]]&lt;=30,"Low",IF(StudentData[[#This Row],[RiskIndex]]&lt;=60,"Medium","High"))</f>
        <v>Low</v>
      </c>
      <c r="AP466">
        <f>StudentData[[#This Row],[G3]]+('Intervention Simulator'!$C$2*1.5)</f>
        <v>11</v>
      </c>
      <c r="AQ466" t="str">
        <f>IF(StudentData[[#This Row],[ProjectedGrade]]&gt;=10,"Pass","Fail")</f>
        <v>Pass</v>
      </c>
    </row>
    <row r="467" spans="1:43" x14ac:dyDescent="0.3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  <c r="AH467" t="str">
        <f>IF(StudentData[[#This Row],[G3]]&gt;=10,"Pass","Fail")</f>
        <v>Fail</v>
      </c>
      <c r="AI467">
        <f>IF(StudentData[[#This Row],[G3]]&lt;StudentData[[#This Row],[G2]],1,0)</f>
        <v>0</v>
      </c>
      <c r="AJ467">
        <f>IF(StudentData[[#This Row],[failures]]&gt;=2,100,IF(StudentData[[#This Row],[failures]]=1,60,0))</f>
        <v>60</v>
      </c>
      <c r="AK467">
        <f>IF(StudentData[[#This Row],[absences]]&gt;15,80,IF(StudentData[[#This Row],[absences]]&gt;10,50,0))</f>
        <v>0</v>
      </c>
      <c r="AL467">
        <f>IF(StudentData[[#This Row],[studytime]]=1,70,IF(StudentData[[#This Row],[studytime]]=2,40,0))</f>
        <v>40</v>
      </c>
      <c r="AM467">
        <f>IF(StudentData[[#This Row],[GradeDrop]]=1,50,0)</f>
        <v>0</v>
      </c>
      <c r="AN467">
        <f>0.4*StudentData[[#This Row],[FailureScore]]+0.3*StudentData[[#This Row],[AbsenceScore]]+0.2*StudentData[[#This Row],[StudyRisk]]+0.1*StudentData[[#This Row],[TrendRisk]]</f>
        <v>32</v>
      </c>
      <c r="AO467" t="str">
        <f>IF(StudentData[[#This Row],[RiskIndex]]&lt;=30,"Low",IF(StudentData[[#This Row],[RiskIndex]]&lt;=60,"Medium","High"))</f>
        <v>Medium</v>
      </c>
      <c r="AP467">
        <f>StudentData[[#This Row],[G3]]+('Intervention Simulator'!$C$2*1.5)</f>
        <v>8</v>
      </c>
      <c r="AQ467" t="str">
        <f>IF(StudentData[[#This Row],[ProjectedGrade]]&gt;=10,"Pass","Fail")</f>
        <v>Fail</v>
      </c>
    </row>
    <row r="468" spans="1:43" x14ac:dyDescent="0.3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  <c r="AH468" t="str">
        <f>IF(StudentData[[#This Row],[G3]]&gt;=10,"Pass","Fail")</f>
        <v>Pass</v>
      </c>
      <c r="AI468">
        <f>IF(StudentData[[#This Row],[G3]]&lt;StudentData[[#This Row],[G2]],1,0)</f>
        <v>0</v>
      </c>
      <c r="AJ468">
        <f>IF(StudentData[[#This Row],[failures]]&gt;=2,100,IF(StudentData[[#This Row],[failures]]=1,60,0))</f>
        <v>0</v>
      </c>
      <c r="AK468">
        <f>IF(StudentData[[#This Row],[absences]]&gt;15,80,IF(StudentData[[#This Row],[absences]]&gt;10,50,0))</f>
        <v>0</v>
      </c>
      <c r="AL468">
        <f>IF(StudentData[[#This Row],[studytime]]=1,70,IF(StudentData[[#This Row],[studytime]]=2,40,0))</f>
        <v>70</v>
      </c>
      <c r="AM468">
        <f>IF(StudentData[[#This Row],[GradeDrop]]=1,50,0)</f>
        <v>0</v>
      </c>
      <c r="AN468">
        <f>0.4*StudentData[[#This Row],[FailureScore]]+0.3*StudentData[[#This Row],[AbsenceScore]]+0.2*StudentData[[#This Row],[StudyRisk]]+0.1*StudentData[[#This Row],[TrendRisk]]</f>
        <v>14</v>
      </c>
      <c r="AO468" t="str">
        <f>IF(StudentData[[#This Row],[RiskIndex]]&lt;=30,"Low",IF(StudentData[[#This Row],[RiskIndex]]&lt;=60,"Medium","High"))</f>
        <v>Low</v>
      </c>
      <c r="AP468">
        <f>StudentData[[#This Row],[G3]]+('Intervention Simulator'!$C$2*1.5)</f>
        <v>11</v>
      </c>
      <c r="AQ468" t="str">
        <f>IF(StudentData[[#This Row],[ProjectedGrade]]&gt;=10,"Pass","Fail")</f>
        <v>Pass</v>
      </c>
    </row>
    <row r="469" spans="1:43" x14ac:dyDescent="0.3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  <c r="AH469" t="str">
        <f>IF(StudentData[[#This Row],[G3]]&gt;=10,"Pass","Fail")</f>
        <v>Pass</v>
      </c>
      <c r="AI469">
        <f>IF(StudentData[[#This Row],[G3]]&lt;StudentData[[#This Row],[G2]],1,0)</f>
        <v>0</v>
      </c>
      <c r="AJ469">
        <f>IF(StudentData[[#This Row],[failures]]&gt;=2,100,IF(StudentData[[#This Row],[failures]]=1,60,0))</f>
        <v>0</v>
      </c>
      <c r="AK469">
        <f>IF(StudentData[[#This Row],[absences]]&gt;15,80,IF(StudentData[[#This Row],[absences]]&gt;10,50,0))</f>
        <v>0</v>
      </c>
      <c r="AL469">
        <f>IF(StudentData[[#This Row],[studytime]]=1,70,IF(StudentData[[#This Row],[studytime]]=2,40,0))</f>
        <v>40</v>
      </c>
      <c r="AM469">
        <f>IF(StudentData[[#This Row],[GradeDrop]]=1,50,0)</f>
        <v>0</v>
      </c>
      <c r="AN469">
        <f>0.4*StudentData[[#This Row],[FailureScore]]+0.3*StudentData[[#This Row],[AbsenceScore]]+0.2*StudentData[[#This Row],[StudyRisk]]+0.1*StudentData[[#This Row],[TrendRisk]]</f>
        <v>8</v>
      </c>
      <c r="AO469" t="str">
        <f>IF(StudentData[[#This Row],[RiskIndex]]&lt;=30,"Low",IF(StudentData[[#This Row],[RiskIndex]]&lt;=60,"Medium","High"))</f>
        <v>Low</v>
      </c>
      <c r="AP469">
        <f>StudentData[[#This Row],[G3]]+('Intervention Simulator'!$C$2*1.5)</f>
        <v>14</v>
      </c>
      <c r="AQ469" t="str">
        <f>IF(StudentData[[#This Row],[ProjectedGrade]]&gt;=10,"Pass","Fail")</f>
        <v>Pass</v>
      </c>
    </row>
    <row r="470" spans="1:43" x14ac:dyDescent="0.3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  <c r="AH470" t="str">
        <f>IF(StudentData[[#This Row],[G3]]&gt;=10,"Pass","Fail")</f>
        <v>Pass</v>
      </c>
      <c r="AI470">
        <f>IF(StudentData[[#This Row],[G3]]&lt;StudentData[[#This Row],[G2]],1,0)</f>
        <v>0</v>
      </c>
      <c r="AJ470">
        <f>IF(StudentData[[#This Row],[failures]]&gt;=2,100,IF(StudentData[[#This Row],[failures]]=1,60,0))</f>
        <v>0</v>
      </c>
      <c r="AK470">
        <f>IF(StudentData[[#This Row],[absences]]&gt;15,80,IF(StudentData[[#This Row],[absences]]&gt;10,50,0))</f>
        <v>0</v>
      </c>
      <c r="AL470">
        <f>IF(StudentData[[#This Row],[studytime]]=1,70,IF(StudentData[[#This Row],[studytime]]=2,40,0))</f>
        <v>70</v>
      </c>
      <c r="AM470">
        <f>IF(StudentData[[#This Row],[GradeDrop]]=1,50,0)</f>
        <v>0</v>
      </c>
      <c r="AN470">
        <f>0.4*StudentData[[#This Row],[FailureScore]]+0.3*StudentData[[#This Row],[AbsenceScore]]+0.2*StudentData[[#This Row],[StudyRisk]]+0.1*StudentData[[#This Row],[TrendRisk]]</f>
        <v>14</v>
      </c>
      <c r="AO470" t="str">
        <f>IF(StudentData[[#This Row],[RiskIndex]]&lt;=30,"Low",IF(StudentData[[#This Row],[RiskIndex]]&lt;=60,"Medium","High"))</f>
        <v>Low</v>
      </c>
      <c r="AP470">
        <f>StudentData[[#This Row],[G3]]+('Intervention Simulator'!$C$2*1.5)</f>
        <v>13</v>
      </c>
      <c r="AQ470" t="str">
        <f>IF(StudentData[[#This Row],[ProjectedGrade]]&gt;=10,"Pass","Fail")</f>
        <v>Pass</v>
      </c>
    </row>
    <row r="471" spans="1:43" x14ac:dyDescent="0.3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  <c r="AH471" t="str">
        <f>IF(StudentData[[#This Row],[G3]]&gt;=10,"Pass","Fail")</f>
        <v>Pass</v>
      </c>
      <c r="AI471">
        <f>IF(StudentData[[#This Row],[G3]]&lt;StudentData[[#This Row],[G2]],1,0)</f>
        <v>0</v>
      </c>
      <c r="AJ471">
        <f>IF(StudentData[[#This Row],[failures]]&gt;=2,100,IF(StudentData[[#This Row],[failures]]=1,60,0))</f>
        <v>0</v>
      </c>
      <c r="AK471">
        <f>IF(StudentData[[#This Row],[absences]]&gt;15,80,IF(StudentData[[#This Row],[absences]]&gt;10,50,0))</f>
        <v>0</v>
      </c>
      <c r="AL471">
        <f>IF(StudentData[[#This Row],[studytime]]=1,70,IF(StudentData[[#This Row],[studytime]]=2,40,0))</f>
        <v>40</v>
      </c>
      <c r="AM471">
        <f>IF(StudentData[[#This Row],[GradeDrop]]=1,50,0)</f>
        <v>0</v>
      </c>
      <c r="AN471">
        <f>0.4*StudentData[[#This Row],[FailureScore]]+0.3*StudentData[[#This Row],[AbsenceScore]]+0.2*StudentData[[#This Row],[StudyRisk]]+0.1*StudentData[[#This Row],[TrendRisk]]</f>
        <v>8</v>
      </c>
      <c r="AO471" t="str">
        <f>IF(StudentData[[#This Row],[RiskIndex]]&lt;=30,"Low",IF(StudentData[[#This Row],[RiskIndex]]&lt;=60,"Medium","High"))</f>
        <v>Low</v>
      </c>
      <c r="AP471">
        <f>StudentData[[#This Row],[G3]]+('Intervention Simulator'!$C$2*1.5)</f>
        <v>13</v>
      </c>
      <c r="AQ471" t="str">
        <f>IF(StudentData[[#This Row],[ProjectedGrade]]&gt;=10,"Pass","Fail")</f>
        <v>Pass</v>
      </c>
    </row>
    <row r="472" spans="1:43" x14ac:dyDescent="0.3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  <c r="AH472" t="str">
        <f>IF(StudentData[[#This Row],[G3]]&gt;=10,"Pass","Fail")</f>
        <v>Pass</v>
      </c>
      <c r="AI472">
        <f>IF(StudentData[[#This Row],[G3]]&lt;StudentData[[#This Row],[G2]],1,0)</f>
        <v>0</v>
      </c>
      <c r="AJ472">
        <f>IF(StudentData[[#This Row],[failures]]&gt;=2,100,IF(StudentData[[#This Row],[failures]]=1,60,0))</f>
        <v>0</v>
      </c>
      <c r="AK472">
        <f>IF(StudentData[[#This Row],[absences]]&gt;15,80,IF(StudentData[[#This Row],[absences]]&gt;10,50,0))</f>
        <v>0</v>
      </c>
      <c r="AL472">
        <f>IF(StudentData[[#This Row],[studytime]]=1,70,IF(StudentData[[#This Row],[studytime]]=2,40,0))</f>
        <v>40</v>
      </c>
      <c r="AM472">
        <f>IF(StudentData[[#This Row],[GradeDrop]]=1,50,0)</f>
        <v>0</v>
      </c>
      <c r="AN472">
        <f>0.4*StudentData[[#This Row],[FailureScore]]+0.3*StudentData[[#This Row],[AbsenceScore]]+0.2*StudentData[[#This Row],[StudyRisk]]+0.1*StudentData[[#This Row],[TrendRisk]]</f>
        <v>8</v>
      </c>
      <c r="AO472" t="str">
        <f>IF(StudentData[[#This Row],[RiskIndex]]&lt;=30,"Low",IF(StudentData[[#This Row],[RiskIndex]]&lt;=60,"Medium","High"))</f>
        <v>Low</v>
      </c>
      <c r="AP472">
        <f>StudentData[[#This Row],[G3]]+('Intervention Simulator'!$C$2*1.5)</f>
        <v>12</v>
      </c>
      <c r="AQ472" t="str">
        <f>IF(StudentData[[#This Row],[ProjectedGrade]]&gt;=10,"Pass","Fail")</f>
        <v>Pass</v>
      </c>
    </row>
    <row r="473" spans="1:43" x14ac:dyDescent="0.3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  <c r="AH473" t="str">
        <f>IF(StudentData[[#This Row],[G3]]&gt;=10,"Pass","Fail")</f>
        <v>Pass</v>
      </c>
      <c r="AI473">
        <f>IF(StudentData[[#This Row],[G3]]&lt;StudentData[[#This Row],[G2]],1,0)</f>
        <v>0</v>
      </c>
      <c r="AJ473">
        <f>IF(StudentData[[#This Row],[failures]]&gt;=2,100,IF(StudentData[[#This Row],[failures]]=1,60,0))</f>
        <v>60</v>
      </c>
      <c r="AK473">
        <f>IF(StudentData[[#This Row],[absences]]&gt;15,80,IF(StudentData[[#This Row],[absences]]&gt;10,50,0))</f>
        <v>0</v>
      </c>
      <c r="AL473">
        <f>IF(StudentData[[#This Row],[studytime]]=1,70,IF(StudentData[[#This Row],[studytime]]=2,40,0))</f>
        <v>40</v>
      </c>
      <c r="AM473">
        <f>IF(StudentData[[#This Row],[GradeDrop]]=1,50,0)</f>
        <v>0</v>
      </c>
      <c r="AN473">
        <f>0.4*StudentData[[#This Row],[FailureScore]]+0.3*StudentData[[#This Row],[AbsenceScore]]+0.2*StudentData[[#This Row],[StudyRisk]]+0.1*StudentData[[#This Row],[TrendRisk]]</f>
        <v>32</v>
      </c>
      <c r="AO473" t="str">
        <f>IF(StudentData[[#This Row],[RiskIndex]]&lt;=30,"Low",IF(StudentData[[#This Row],[RiskIndex]]&lt;=60,"Medium","High"))</f>
        <v>Medium</v>
      </c>
      <c r="AP473">
        <f>StudentData[[#This Row],[G3]]+('Intervention Simulator'!$C$2*1.5)</f>
        <v>12</v>
      </c>
      <c r="AQ473" t="str">
        <f>IF(StudentData[[#This Row],[ProjectedGrade]]&gt;=10,"Pass","Fail")</f>
        <v>Pass</v>
      </c>
    </row>
    <row r="474" spans="1:43" x14ac:dyDescent="0.3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  <c r="AH474" t="str">
        <f>IF(StudentData[[#This Row],[G3]]&gt;=10,"Pass","Fail")</f>
        <v>Pass</v>
      </c>
      <c r="AI474">
        <f>IF(StudentData[[#This Row],[G3]]&lt;StudentData[[#This Row],[G2]],1,0)</f>
        <v>0</v>
      </c>
      <c r="AJ474">
        <f>IF(StudentData[[#This Row],[failures]]&gt;=2,100,IF(StudentData[[#This Row],[failures]]=1,60,0))</f>
        <v>0</v>
      </c>
      <c r="AK474">
        <f>IF(StudentData[[#This Row],[absences]]&gt;15,80,IF(StudentData[[#This Row],[absences]]&gt;10,50,0))</f>
        <v>0</v>
      </c>
      <c r="AL474">
        <f>IF(StudentData[[#This Row],[studytime]]=1,70,IF(StudentData[[#This Row],[studytime]]=2,40,0))</f>
        <v>70</v>
      </c>
      <c r="AM474">
        <f>IF(StudentData[[#This Row],[GradeDrop]]=1,50,0)</f>
        <v>0</v>
      </c>
      <c r="AN474">
        <f>0.4*StudentData[[#This Row],[FailureScore]]+0.3*StudentData[[#This Row],[AbsenceScore]]+0.2*StudentData[[#This Row],[StudyRisk]]+0.1*StudentData[[#This Row],[TrendRisk]]</f>
        <v>14</v>
      </c>
      <c r="AO474" t="str">
        <f>IF(StudentData[[#This Row],[RiskIndex]]&lt;=30,"Low",IF(StudentData[[#This Row],[RiskIndex]]&lt;=60,"Medium","High"))</f>
        <v>Low</v>
      </c>
      <c r="AP474">
        <f>StudentData[[#This Row],[G3]]+('Intervention Simulator'!$C$2*1.5)</f>
        <v>16</v>
      </c>
      <c r="AQ474" t="str">
        <f>IF(StudentData[[#This Row],[ProjectedGrade]]&gt;=10,"Pass","Fail")</f>
        <v>Pass</v>
      </c>
    </row>
    <row r="475" spans="1:43" x14ac:dyDescent="0.3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  <c r="AH475" t="str">
        <f>IF(StudentData[[#This Row],[G3]]&gt;=10,"Pass","Fail")</f>
        <v>Pass</v>
      </c>
      <c r="AI475">
        <f>IF(StudentData[[#This Row],[G3]]&lt;StudentData[[#This Row],[G2]],1,0)</f>
        <v>0</v>
      </c>
      <c r="AJ475">
        <f>IF(StudentData[[#This Row],[failures]]&gt;=2,100,IF(StudentData[[#This Row],[failures]]=1,60,0))</f>
        <v>0</v>
      </c>
      <c r="AK475">
        <f>IF(StudentData[[#This Row],[absences]]&gt;15,80,IF(StudentData[[#This Row],[absences]]&gt;10,50,0))</f>
        <v>0</v>
      </c>
      <c r="AL475">
        <f>IF(StudentData[[#This Row],[studytime]]=1,70,IF(StudentData[[#This Row],[studytime]]=2,40,0))</f>
        <v>70</v>
      </c>
      <c r="AM475">
        <f>IF(StudentData[[#This Row],[GradeDrop]]=1,50,0)</f>
        <v>0</v>
      </c>
      <c r="AN475">
        <f>0.4*StudentData[[#This Row],[FailureScore]]+0.3*StudentData[[#This Row],[AbsenceScore]]+0.2*StudentData[[#This Row],[StudyRisk]]+0.1*StudentData[[#This Row],[TrendRisk]]</f>
        <v>14</v>
      </c>
      <c r="AO475" t="str">
        <f>IF(StudentData[[#This Row],[RiskIndex]]&lt;=30,"Low",IF(StudentData[[#This Row],[RiskIndex]]&lt;=60,"Medium","High"))</f>
        <v>Low</v>
      </c>
      <c r="AP475">
        <f>StudentData[[#This Row],[G3]]+('Intervention Simulator'!$C$2*1.5)</f>
        <v>10</v>
      </c>
      <c r="AQ475" t="str">
        <f>IF(StudentData[[#This Row],[ProjectedGrade]]&gt;=10,"Pass","Fail")</f>
        <v>Pass</v>
      </c>
    </row>
    <row r="476" spans="1:43" x14ac:dyDescent="0.3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  <c r="AH476" t="str">
        <f>IF(StudentData[[#This Row],[G3]]&gt;=10,"Pass","Fail")</f>
        <v>Pass</v>
      </c>
      <c r="AI476">
        <f>IF(StudentData[[#This Row],[G3]]&lt;StudentData[[#This Row],[G2]],1,0)</f>
        <v>0</v>
      </c>
      <c r="AJ476">
        <f>IF(StudentData[[#This Row],[failures]]&gt;=2,100,IF(StudentData[[#This Row],[failures]]=1,60,0))</f>
        <v>0</v>
      </c>
      <c r="AK476">
        <f>IF(StudentData[[#This Row],[absences]]&gt;15,80,IF(StudentData[[#This Row],[absences]]&gt;10,50,0))</f>
        <v>0</v>
      </c>
      <c r="AL476">
        <f>IF(StudentData[[#This Row],[studytime]]=1,70,IF(StudentData[[#This Row],[studytime]]=2,40,0))</f>
        <v>70</v>
      </c>
      <c r="AM476">
        <f>IF(StudentData[[#This Row],[GradeDrop]]=1,50,0)</f>
        <v>0</v>
      </c>
      <c r="AN476">
        <f>0.4*StudentData[[#This Row],[FailureScore]]+0.3*StudentData[[#This Row],[AbsenceScore]]+0.2*StudentData[[#This Row],[StudyRisk]]+0.1*StudentData[[#This Row],[TrendRisk]]</f>
        <v>14</v>
      </c>
      <c r="AO476" t="str">
        <f>IF(StudentData[[#This Row],[RiskIndex]]&lt;=30,"Low",IF(StudentData[[#This Row],[RiskIndex]]&lt;=60,"Medium","High"))</f>
        <v>Low</v>
      </c>
      <c r="AP476">
        <f>StudentData[[#This Row],[G3]]+('Intervention Simulator'!$C$2*1.5)</f>
        <v>11</v>
      </c>
      <c r="AQ476" t="str">
        <f>IF(StudentData[[#This Row],[ProjectedGrade]]&gt;=10,"Pass","Fail")</f>
        <v>Pass</v>
      </c>
    </row>
    <row r="477" spans="1:43" x14ac:dyDescent="0.3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  <c r="AH477" t="str">
        <f>IF(StudentData[[#This Row],[G3]]&gt;=10,"Pass","Fail")</f>
        <v>Pass</v>
      </c>
      <c r="AI477">
        <f>IF(StudentData[[#This Row],[G3]]&lt;StudentData[[#This Row],[G2]],1,0)</f>
        <v>0</v>
      </c>
      <c r="AJ477">
        <f>IF(StudentData[[#This Row],[failures]]&gt;=2,100,IF(StudentData[[#This Row],[failures]]=1,60,0))</f>
        <v>0</v>
      </c>
      <c r="AK477">
        <f>IF(StudentData[[#This Row],[absences]]&gt;15,80,IF(StudentData[[#This Row],[absences]]&gt;10,50,0))</f>
        <v>0</v>
      </c>
      <c r="AL477">
        <f>IF(StudentData[[#This Row],[studytime]]=1,70,IF(StudentData[[#This Row],[studytime]]=2,40,0))</f>
        <v>0</v>
      </c>
      <c r="AM477">
        <f>IF(StudentData[[#This Row],[GradeDrop]]=1,50,0)</f>
        <v>0</v>
      </c>
      <c r="AN477">
        <f>0.4*StudentData[[#This Row],[FailureScore]]+0.3*StudentData[[#This Row],[AbsenceScore]]+0.2*StudentData[[#This Row],[StudyRisk]]+0.1*StudentData[[#This Row],[TrendRisk]]</f>
        <v>0</v>
      </c>
      <c r="AO477" t="str">
        <f>IF(StudentData[[#This Row],[RiskIndex]]&lt;=30,"Low",IF(StudentData[[#This Row],[RiskIndex]]&lt;=60,"Medium","High"))</f>
        <v>Low</v>
      </c>
      <c r="AP477">
        <f>StudentData[[#This Row],[G3]]+('Intervention Simulator'!$C$2*1.5)</f>
        <v>14</v>
      </c>
      <c r="AQ477" t="str">
        <f>IF(StudentData[[#This Row],[ProjectedGrade]]&gt;=10,"Pass","Fail")</f>
        <v>Pass</v>
      </c>
    </row>
    <row r="478" spans="1:43" x14ac:dyDescent="0.3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  <c r="AH478" t="str">
        <f>IF(StudentData[[#This Row],[G3]]&gt;=10,"Pass","Fail")</f>
        <v>Fail</v>
      </c>
      <c r="AI478">
        <f>IF(StudentData[[#This Row],[G3]]&lt;StudentData[[#This Row],[G2]],1,0)</f>
        <v>0</v>
      </c>
      <c r="AJ478">
        <f>IF(StudentData[[#This Row],[failures]]&gt;=2,100,IF(StudentData[[#This Row],[failures]]=1,60,0))</f>
        <v>0</v>
      </c>
      <c r="AK478">
        <f>IF(StudentData[[#This Row],[absences]]&gt;15,80,IF(StudentData[[#This Row],[absences]]&gt;10,50,0))</f>
        <v>0</v>
      </c>
      <c r="AL478">
        <f>IF(StudentData[[#This Row],[studytime]]=1,70,IF(StudentData[[#This Row],[studytime]]=2,40,0))</f>
        <v>70</v>
      </c>
      <c r="AM478">
        <f>IF(StudentData[[#This Row],[GradeDrop]]=1,50,0)</f>
        <v>0</v>
      </c>
      <c r="AN478">
        <f>0.4*StudentData[[#This Row],[FailureScore]]+0.3*StudentData[[#This Row],[AbsenceScore]]+0.2*StudentData[[#This Row],[StudyRisk]]+0.1*StudentData[[#This Row],[TrendRisk]]</f>
        <v>14</v>
      </c>
      <c r="AO478" t="str">
        <f>IF(StudentData[[#This Row],[RiskIndex]]&lt;=30,"Low",IF(StudentData[[#This Row],[RiskIndex]]&lt;=60,"Medium","High"))</f>
        <v>Low</v>
      </c>
      <c r="AP478">
        <f>StudentData[[#This Row],[G3]]+('Intervention Simulator'!$C$2*1.5)</f>
        <v>8</v>
      </c>
      <c r="AQ478" t="str">
        <f>IF(StudentData[[#This Row],[ProjectedGrade]]&gt;=10,"Pass","Fail")</f>
        <v>Fail</v>
      </c>
    </row>
    <row r="479" spans="1:43" x14ac:dyDescent="0.3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  <c r="AH479" t="str">
        <f>IF(StudentData[[#This Row],[G3]]&gt;=10,"Pass","Fail")</f>
        <v>Pass</v>
      </c>
      <c r="AI479">
        <f>IF(StudentData[[#This Row],[G3]]&lt;StudentData[[#This Row],[G2]],1,0)</f>
        <v>0</v>
      </c>
      <c r="AJ479">
        <f>IF(StudentData[[#This Row],[failures]]&gt;=2,100,IF(StudentData[[#This Row],[failures]]=1,60,0))</f>
        <v>0</v>
      </c>
      <c r="AK479">
        <f>IF(StudentData[[#This Row],[absences]]&gt;15,80,IF(StudentData[[#This Row],[absences]]&gt;10,50,0))</f>
        <v>50</v>
      </c>
      <c r="AL479">
        <f>IF(StudentData[[#This Row],[studytime]]=1,70,IF(StudentData[[#This Row],[studytime]]=2,40,0))</f>
        <v>70</v>
      </c>
      <c r="AM479">
        <f>IF(StudentData[[#This Row],[GradeDrop]]=1,50,0)</f>
        <v>0</v>
      </c>
      <c r="AN479">
        <f>0.4*StudentData[[#This Row],[FailureScore]]+0.3*StudentData[[#This Row],[AbsenceScore]]+0.2*StudentData[[#This Row],[StudyRisk]]+0.1*StudentData[[#This Row],[TrendRisk]]</f>
        <v>29</v>
      </c>
      <c r="AO479" t="str">
        <f>IF(StudentData[[#This Row],[RiskIndex]]&lt;=30,"Low",IF(StudentData[[#This Row],[RiskIndex]]&lt;=60,"Medium","High"))</f>
        <v>Low</v>
      </c>
      <c r="AP479">
        <f>StudentData[[#This Row],[G3]]+('Intervention Simulator'!$C$2*1.5)</f>
        <v>11</v>
      </c>
      <c r="AQ479" t="str">
        <f>IF(StudentData[[#This Row],[ProjectedGrade]]&gt;=10,"Pass","Fail")</f>
        <v>Pass</v>
      </c>
    </row>
    <row r="480" spans="1:43" x14ac:dyDescent="0.3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  <c r="AH480" t="str">
        <f>IF(StudentData[[#This Row],[G3]]&gt;=10,"Pass","Fail")</f>
        <v>Fail</v>
      </c>
      <c r="AI480">
        <f>IF(StudentData[[#This Row],[G3]]&lt;StudentData[[#This Row],[G2]],1,0)</f>
        <v>0</v>
      </c>
      <c r="AJ480">
        <f>IF(StudentData[[#This Row],[failures]]&gt;=2,100,IF(StudentData[[#This Row],[failures]]=1,60,0))</f>
        <v>100</v>
      </c>
      <c r="AK480">
        <f>IF(StudentData[[#This Row],[absences]]&gt;15,80,IF(StudentData[[#This Row],[absences]]&gt;10,50,0))</f>
        <v>0</v>
      </c>
      <c r="AL480">
        <f>IF(StudentData[[#This Row],[studytime]]=1,70,IF(StudentData[[#This Row],[studytime]]=2,40,0))</f>
        <v>40</v>
      </c>
      <c r="AM480">
        <f>IF(StudentData[[#This Row],[GradeDrop]]=1,50,0)</f>
        <v>0</v>
      </c>
      <c r="AN480">
        <f>0.4*StudentData[[#This Row],[FailureScore]]+0.3*StudentData[[#This Row],[AbsenceScore]]+0.2*StudentData[[#This Row],[StudyRisk]]+0.1*StudentData[[#This Row],[TrendRisk]]</f>
        <v>48</v>
      </c>
      <c r="AO480" t="str">
        <f>IF(StudentData[[#This Row],[RiskIndex]]&lt;=30,"Low",IF(StudentData[[#This Row],[RiskIndex]]&lt;=60,"Medium","High"))</f>
        <v>Medium</v>
      </c>
      <c r="AP480">
        <f>StudentData[[#This Row],[G3]]+('Intervention Simulator'!$C$2*1.5)</f>
        <v>8</v>
      </c>
      <c r="AQ480" t="str">
        <f>IF(StudentData[[#This Row],[ProjectedGrade]]&gt;=10,"Pass","Fail")</f>
        <v>Fail</v>
      </c>
    </row>
    <row r="481" spans="1:43" x14ac:dyDescent="0.3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  <c r="AH481" t="str">
        <f>IF(StudentData[[#This Row],[G3]]&gt;=10,"Pass","Fail")</f>
        <v>Pass</v>
      </c>
      <c r="AI481">
        <f>IF(StudentData[[#This Row],[G3]]&lt;StudentData[[#This Row],[G2]],1,0)</f>
        <v>0</v>
      </c>
      <c r="AJ481">
        <f>IF(StudentData[[#This Row],[failures]]&gt;=2,100,IF(StudentData[[#This Row],[failures]]=1,60,0))</f>
        <v>0</v>
      </c>
      <c r="AK481">
        <f>IF(StudentData[[#This Row],[absences]]&gt;15,80,IF(StudentData[[#This Row],[absences]]&gt;10,50,0))</f>
        <v>0</v>
      </c>
      <c r="AL481">
        <f>IF(StudentData[[#This Row],[studytime]]=1,70,IF(StudentData[[#This Row],[studytime]]=2,40,0))</f>
        <v>70</v>
      </c>
      <c r="AM481">
        <f>IF(StudentData[[#This Row],[GradeDrop]]=1,50,0)</f>
        <v>0</v>
      </c>
      <c r="AN481">
        <f>0.4*StudentData[[#This Row],[FailureScore]]+0.3*StudentData[[#This Row],[AbsenceScore]]+0.2*StudentData[[#This Row],[StudyRisk]]+0.1*StudentData[[#This Row],[TrendRisk]]</f>
        <v>14</v>
      </c>
      <c r="AO481" t="str">
        <f>IF(StudentData[[#This Row],[RiskIndex]]&lt;=30,"Low",IF(StudentData[[#This Row],[RiskIndex]]&lt;=60,"Medium","High"))</f>
        <v>Low</v>
      </c>
      <c r="AP481">
        <f>StudentData[[#This Row],[G3]]+('Intervention Simulator'!$C$2*1.5)</f>
        <v>10</v>
      </c>
      <c r="AQ481" t="str">
        <f>IF(StudentData[[#This Row],[ProjectedGrade]]&gt;=10,"Pass","Fail")</f>
        <v>Pass</v>
      </c>
    </row>
    <row r="482" spans="1:43" x14ac:dyDescent="0.3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  <c r="AH482" t="str">
        <f>IF(StudentData[[#This Row],[G3]]&gt;=10,"Pass","Fail")</f>
        <v>Pass</v>
      </c>
      <c r="AI482">
        <f>IF(StudentData[[#This Row],[G3]]&lt;StudentData[[#This Row],[G2]],1,0)</f>
        <v>0</v>
      </c>
      <c r="AJ482">
        <f>IF(StudentData[[#This Row],[failures]]&gt;=2,100,IF(StudentData[[#This Row],[failures]]=1,60,0))</f>
        <v>60</v>
      </c>
      <c r="AK482">
        <f>IF(StudentData[[#This Row],[absences]]&gt;15,80,IF(StudentData[[#This Row],[absences]]&gt;10,50,0))</f>
        <v>0</v>
      </c>
      <c r="AL482">
        <f>IF(StudentData[[#This Row],[studytime]]=1,70,IF(StudentData[[#This Row],[studytime]]=2,40,0))</f>
        <v>70</v>
      </c>
      <c r="AM482">
        <f>IF(StudentData[[#This Row],[GradeDrop]]=1,50,0)</f>
        <v>0</v>
      </c>
      <c r="AN482">
        <f>0.4*StudentData[[#This Row],[FailureScore]]+0.3*StudentData[[#This Row],[AbsenceScore]]+0.2*StudentData[[#This Row],[StudyRisk]]+0.1*StudentData[[#This Row],[TrendRisk]]</f>
        <v>38</v>
      </c>
      <c r="AO482" t="str">
        <f>IF(StudentData[[#This Row],[RiskIndex]]&lt;=30,"Low",IF(StudentData[[#This Row],[RiskIndex]]&lt;=60,"Medium","High"))</f>
        <v>Medium</v>
      </c>
      <c r="AP482">
        <f>StudentData[[#This Row],[G3]]+('Intervention Simulator'!$C$2*1.5)</f>
        <v>10</v>
      </c>
      <c r="AQ482" t="str">
        <f>IF(StudentData[[#This Row],[ProjectedGrade]]&gt;=10,"Pass","Fail")</f>
        <v>Pass</v>
      </c>
    </row>
    <row r="483" spans="1:43" x14ac:dyDescent="0.3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  <c r="AH483" t="str">
        <f>IF(StudentData[[#This Row],[G3]]&gt;=10,"Pass","Fail")</f>
        <v>Pass</v>
      </c>
      <c r="AI483">
        <f>IF(StudentData[[#This Row],[G3]]&lt;StudentData[[#This Row],[G2]],1,0)</f>
        <v>0</v>
      </c>
      <c r="AJ483">
        <f>IF(StudentData[[#This Row],[failures]]&gt;=2,100,IF(StudentData[[#This Row],[failures]]=1,60,0))</f>
        <v>0</v>
      </c>
      <c r="AK483">
        <f>IF(StudentData[[#This Row],[absences]]&gt;15,80,IF(StudentData[[#This Row],[absences]]&gt;10,50,0))</f>
        <v>0</v>
      </c>
      <c r="AL483">
        <f>IF(StudentData[[#This Row],[studytime]]=1,70,IF(StudentData[[#This Row],[studytime]]=2,40,0))</f>
        <v>70</v>
      </c>
      <c r="AM483">
        <f>IF(StudentData[[#This Row],[GradeDrop]]=1,50,0)</f>
        <v>0</v>
      </c>
      <c r="AN483">
        <f>0.4*StudentData[[#This Row],[FailureScore]]+0.3*StudentData[[#This Row],[AbsenceScore]]+0.2*StudentData[[#This Row],[StudyRisk]]+0.1*StudentData[[#This Row],[TrendRisk]]</f>
        <v>14</v>
      </c>
      <c r="AO483" t="str">
        <f>IF(StudentData[[#This Row],[RiskIndex]]&lt;=30,"Low",IF(StudentData[[#This Row],[RiskIndex]]&lt;=60,"Medium","High"))</f>
        <v>Low</v>
      </c>
      <c r="AP483">
        <f>StudentData[[#This Row],[G3]]+('Intervention Simulator'!$C$2*1.5)</f>
        <v>11</v>
      </c>
      <c r="AQ483" t="str">
        <f>IF(StudentData[[#This Row],[ProjectedGrade]]&gt;=10,"Pass","Fail")</f>
        <v>Pass</v>
      </c>
    </row>
    <row r="484" spans="1:43" x14ac:dyDescent="0.3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  <c r="AH484" t="str">
        <f>IF(StudentData[[#This Row],[G3]]&gt;=10,"Pass","Fail")</f>
        <v>Fail</v>
      </c>
      <c r="AI484">
        <f>IF(StudentData[[#This Row],[G3]]&lt;StudentData[[#This Row],[G2]],1,0)</f>
        <v>1</v>
      </c>
      <c r="AJ484">
        <f>IF(StudentData[[#This Row],[failures]]&gt;=2,100,IF(StudentData[[#This Row],[failures]]=1,60,0))</f>
        <v>0</v>
      </c>
      <c r="AK484">
        <f>IF(StudentData[[#This Row],[absences]]&gt;15,80,IF(StudentData[[#This Row],[absences]]&gt;10,50,0))</f>
        <v>0</v>
      </c>
      <c r="AL484">
        <f>IF(StudentData[[#This Row],[studytime]]=1,70,IF(StudentData[[#This Row],[studytime]]=2,40,0))</f>
        <v>70</v>
      </c>
      <c r="AM484">
        <f>IF(StudentData[[#This Row],[GradeDrop]]=1,50,0)</f>
        <v>50</v>
      </c>
      <c r="AN484">
        <f>0.4*StudentData[[#This Row],[FailureScore]]+0.3*StudentData[[#This Row],[AbsenceScore]]+0.2*StudentData[[#This Row],[StudyRisk]]+0.1*StudentData[[#This Row],[TrendRisk]]</f>
        <v>19</v>
      </c>
      <c r="AO484" t="str">
        <f>IF(StudentData[[#This Row],[RiskIndex]]&lt;=30,"Low",IF(StudentData[[#This Row],[RiskIndex]]&lt;=60,"Medium","High"))</f>
        <v>Low</v>
      </c>
      <c r="AP484">
        <f>StudentData[[#This Row],[G3]]+('Intervention Simulator'!$C$2*1.5)</f>
        <v>9</v>
      </c>
      <c r="AQ484" t="str">
        <f>IF(StudentData[[#This Row],[ProjectedGrade]]&gt;=10,"Pass","Fail")</f>
        <v>Fail</v>
      </c>
    </row>
    <row r="485" spans="1:43" x14ac:dyDescent="0.3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  <c r="AH485" t="str">
        <f>IF(StudentData[[#This Row],[G3]]&gt;=10,"Pass","Fail")</f>
        <v>Pass</v>
      </c>
      <c r="AI485">
        <f>IF(StudentData[[#This Row],[G3]]&lt;StudentData[[#This Row],[G2]],1,0)</f>
        <v>0</v>
      </c>
      <c r="AJ485">
        <f>IF(StudentData[[#This Row],[failures]]&gt;=2,100,IF(StudentData[[#This Row],[failures]]=1,60,0))</f>
        <v>0</v>
      </c>
      <c r="AK485">
        <f>IF(StudentData[[#This Row],[absences]]&gt;15,80,IF(StudentData[[#This Row],[absences]]&gt;10,50,0))</f>
        <v>0</v>
      </c>
      <c r="AL485">
        <f>IF(StudentData[[#This Row],[studytime]]=1,70,IF(StudentData[[#This Row],[studytime]]=2,40,0))</f>
        <v>40</v>
      </c>
      <c r="AM485">
        <f>IF(StudentData[[#This Row],[GradeDrop]]=1,50,0)</f>
        <v>0</v>
      </c>
      <c r="AN485">
        <f>0.4*StudentData[[#This Row],[FailureScore]]+0.3*StudentData[[#This Row],[AbsenceScore]]+0.2*StudentData[[#This Row],[StudyRisk]]+0.1*StudentData[[#This Row],[TrendRisk]]</f>
        <v>8</v>
      </c>
      <c r="AO485" t="str">
        <f>IF(StudentData[[#This Row],[RiskIndex]]&lt;=30,"Low",IF(StudentData[[#This Row],[RiskIndex]]&lt;=60,"Medium","High"))</f>
        <v>Low</v>
      </c>
      <c r="AP485">
        <f>StudentData[[#This Row],[G3]]+('Intervention Simulator'!$C$2*1.5)</f>
        <v>11</v>
      </c>
      <c r="AQ485" t="str">
        <f>IF(StudentData[[#This Row],[ProjectedGrade]]&gt;=10,"Pass","Fail")</f>
        <v>Pass</v>
      </c>
    </row>
    <row r="486" spans="1:43" x14ac:dyDescent="0.3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  <c r="AH486" t="str">
        <f>IF(StudentData[[#This Row],[G3]]&gt;=10,"Pass","Fail")</f>
        <v>Fail</v>
      </c>
      <c r="AI486">
        <f>IF(StudentData[[#This Row],[G3]]&lt;StudentData[[#This Row],[G2]],1,0)</f>
        <v>0</v>
      </c>
      <c r="AJ486">
        <f>IF(StudentData[[#This Row],[failures]]&gt;=2,100,IF(StudentData[[#This Row],[failures]]=1,60,0))</f>
        <v>0</v>
      </c>
      <c r="AK486">
        <f>IF(StudentData[[#This Row],[absences]]&gt;15,80,IF(StudentData[[#This Row],[absences]]&gt;10,50,0))</f>
        <v>0</v>
      </c>
      <c r="AL486">
        <f>IF(StudentData[[#This Row],[studytime]]=1,70,IF(StudentData[[#This Row],[studytime]]=2,40,0))</f>
        <v>70</v>
      </c>
      <c r="AM486">
        <f>IF(StudentData[[#This Row],[GradeDrop]]=1,50,0)</f>
        <v>0</v>
      </c>
      <c r="AN486">
        <f>0.4*StudentData[[#This Row],[FailureScore]]+0.3*StudentData[[#This Row],[AbsenceScore]]+0.2*StudentData[[#This Row],[StudyRisk]]+0.1*StudentData[[#This Row],[TrendRisk]]</f>
        <v>14</v>
      </c>
      <c r="AO486" t="str">
        <f>IF(StudentData[[#This Row],[RiskIndex]]&lt;=30,"Low",IF(StudentData[[#This Row],[RiskIndex]]&lt;=60,"Medium","High"))</f>
        <v>Low</v>
      </c>
      <c r="AP486">
        <f>StudentData[[#This Row],[G3]]+('Intervention Simulator'!$C$2*1.5)</f>
        <v>8</v>
      </c>
      <c r="AQ486" t="str">
        <f>IF(StudentData[[#This Row],[ProjectedGrade]]&gt;=10,"Pass","Fail")</f>
        <v>Fail</v>
      </c>
    </row>
    <row r="487" spans="1:43" x14ac:dyDescent="0.3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  <c r="AH487" t="str">
        <f>IF(StudentData[[#This Row],[G3]]&gt;=10,"Pass","Fail")</f>
        <v>Pass</v>
      </c>
      <c r="AI487">
        <f>IF(StudentData[[#This Row],[G3]]&lt;StudentData[[#This Row],[G2]],1,0)</f>
        <v>0</v>
      </c>
      <c r="AJ487">
        <f>IF(StudentData[[#This Row],[failures]]&gt;=2,100,IF(StudentData[[#This Row],[failures]]=1,60,0))</f>
        <v>0</v>
      </c>
      <c r="AK487">
        <f>IF(StudentData[[#This Row],[absences]]&gt;15,80,IF(StudentData[[#This Row],[absences]]&gt;10,50,0))</f>
        <v>0</v>
      </c>
      <c r="AL487">
        <f>IF(StudentData[[#This Row],[studytime]]=1,70,IF(StudentData[[#This Row],[studytime]]=2,40,0))</f>
        <v>40</v>
      </c>
      <c r="AM487">
        <f>IF(StudentData[[#This Row],[GradeDrop]]=1,50,0)</f>
        <v>0</v>
      </c>
      <c r="AN487">
        <f>0.4*StudentData[[#This Row],[FailureScore]]+0.3*StudentData[[#This Row],[AbsenceScore]]+0.2*StudentData[[#This Row],[StudyRisk]]+0.1*StudentData[[#This Row],[TrendRisk]]</f>
        <v>8</v>
      </c>
      <c r="AO487" t="str">
        <f>IF(StudentData[[#This Row],[RiskIndex]]&lt;=30,"Low",IF(StudentData[[#This Row],[RiskIndex]]&lt;=60,"Medium","High"))</f>
        <v>Low</v>
      </c>
      <c r="AP487">
        <f>StudentData[[#This Row],[G3]]+('Intervention Simulator'!$C$2*1.5)</f>
        <v>11</v>
      </c>
      <c r="AQ487" t="str">
        <f>IF(StudentData[[#This Row],[ProjectedGrade]]&gt;=10,"Pass","Fail")</f>
        <v>Pass</v>
      </c>
    </row>
    <row r="488" spans="1:43" x14ac:dyDescent="0.3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  <c r="AH488" t="str">
        <f>IF(StudentData[[#This Row],[G3]]&gt;=10,"Pass","Fail")</f>
        <v>Pass</v>
      </c>
      <c r="AI488">
        <f>IF(StudentData[[#This Row],[G3]]&lt;StudentData[[#This Row],[G2]],1,0)</f>
        <v>0</v>
      </c>
      <c r="AJ488">
        <f>IF(StudentData[[#This Row],[failures]]&gt;=2,100,IF(StudentData[[#This Row],[failures]]=1,60,0))</f>
        <v>60</v>
      </c>
      <c r="AK488">
        <f>IF(StudentData[[#This Row],[absences]]&gt;15,80,IF(StudentData[[#This Row],[absences]]&gt;10,50,0))</f>
        <v>0</v>
      </c>
      <c r="AL488">
        <f>IF(StudentData[[#This Row],[studytime]]=1,70,IF(StudentData[[#This Row],[studytime]]=2,40,0))</f>
        <v>70</v>
      </c>
      <c r="AM488">
        <f>IF(StudentData[[#This Row],[GradeDrop]]=1,50,0)</f>
        <v>0</v>
      </c>
      <c r="AN488">
        <f>0.4*StudentData[[#This Row],[FailureScore]]+0.3*StudentData[[#This Row],[AbsenceScore]]+0.2*StudentData[[#This Row],[StudyRisk]]+0.1*StudentData[[#This Row],[TrendRisk]]</f>
        <v>38</v>
      </c>
      <c r="AO488" t="str">
        <f>IF(StudentData[[#This Row],[RiskIndex]]&lt;=30,"Low",IF(StudentData[[#This Row],[RiskIndex]]&lt;=60,"Medium","High"))</f>
        <v>Medium</v>
      </c>
      <c r="AP488">
        <f>StudentData[[#This Row],[G3]]+('Intervention Simulator'!$C$2*1.5)</f>
        <v>10</v>
      </c>
      <c r="AQ488" t="str">
        <f>IF(StudentData[[#This Row],[ProjectedGrade]]&gt;=10,"Pass","Fail")</f>
        <v>Pass</v>
      </c>
    </row>
    <row r="489" spans="1:43" x14ac:dyDescent="0.3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  <c r="AH489" t="str">
        <f>IF(StudentData[[#This Row],[G3]]&gt;=10,"Pass","Fail")</f>
        <v>Pass</v>
      </c>
      <c r="AI489">
        <f>IF(StudentData[[#This Row],[G3]]&lt;StudentData[[#This Row],[G2]],1,0)</f>
        <v>0</v>
      </c>
      <c r="AJ489">
        <f>IF(StudentData[[#This Row],[failures]]&gt;=2,100,IF(StudentData[[#This Row],[failures]]=1,60,0))</f>
        <v>100</v>
      </c>
      <c r="AK489">
        <f>IF(StudentData[[#This Row],[absences]]&gt;15,80,IF(StudentData[[#This Row],[absences]]&gt;10,50,0))</f>
        <v>0</v>
      </c>
      <c r="AL489">
        <f>IF(StudentData[[#This Row],[studytime]]=1,70,IF(StudentData[[#This Row],[studytime]]=2,40,0))</f>
        <v>0</v>
      </c>
      <c r="AM489">
        <f>IF(StudentData[[#This Row],[GradeDrop]]=1,50,0)</f>
        <v>0</v>
      </c>
      <c r="AN489">
        <f>0.4*StudentData[[#This Row],[FailureScore]]+0.3*StudentData[[#This Row],[AbsenceScore]]+0.2*StudentData[[#This Row],[StudyRisk]]+0.1*StudentData[[#This Row],[TrendRisk]]</f>
        <v>40</v>
      </c>
      <c r="AO489" t="str">
        <f>IF(StudentData[[#This Row],[RiskIndex]]&lt;=30,"Low",IF(StudentData[[#This Row],[RiskIndex]]&lt;=60,"Medium","High"))</f>
        <v>Medium</v>
      </c>
      <c r="AP489">
        <f>StudentData[[#This Row],[G3]]+('Intervention Simulator'!$C$2*1.5)</f>
        <v>10</v>
      </c>
      <c r="AQ489" t="str">
        <f>IF(StudentData[[#This Row],[ProjectedGrade]]&gt;=10,"Pass","Fail")</f>
        <v>Pass</v>
      </c>
    </row>
    <row r="490" spans="1:43" x14ac:dyDescent="0.3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  <c r="AH490" t="str">
        <f>IF(StudentData[[#This Row],[G3]]&gt;=10,"Pass","Fail")</f>
        <v>Fail</v>
      </c>
      <c r="AI490">
        <f>IF(StudentData[[#This Row],[G3]]&lt;StudentData[[#This Row],[G2]],1,0)</f>
        <v>0</v>
      </c>
      <c r="AJ490">
        <f>IF(StudentData[[#This Row],[failures]]&gt;=2,100,IF(StudentData[[#This Row],[failures]]=1,60,0))</f>
        <v>60</v>
      </c>
      <c r="AK490">
        <f>IF(StudentData[[#This Row],[absences]]&gt;15,80,IF(StudentData[[#This Row],[absences]]&gt;10,50,0))</f>
        <v>0</v>
      </c>
      <c r="AL490">
        <f>IF(StudentData[[#This Row],[studytime]]=1,70,IF(StudentData[[#This Row],[studytime]]=2,40,0))</f>
        <v>0</v>
      </c>
      <c r="AM490">
        <f>IF(StudentData[[#This Row],[GradeDrop]]=1,50,0)</f>
        <v>0</v>
      </c>
      <c r="AN490">
        <f>0.4*StudentData[[#This Row],[FailureScore]]+0.3*StudentData[[#This Row],[AbsenceScore]]+0.2*StudentData[[#This Row],[StudyRisk]]+0.1*StudentData[[#This Row],[TrendRisk]]</f>
        <v>24</v>
      </c>
      <c r="AO490" t="str">
        <f>IF(StudentData[[#This Row],[RiskIndex]]&lt;=30,"Low",IF(StudentData[[#This Row],[RiskIndex]]&lt;=60,"Medium","High"))</f>
        <v>Low</v>
      </c>
      <c r="AP490">
        <f>StudentData[[#This Row],[G3]]+('Intervention Simulator'!$C$2*1.5)</f>
        <v>9</v>
      </c>
      <c r="AQ490" t="str">
        <f>IF(StudentData[[#This Row],[ProjectedGrade]]&gt;=10,"Pass","Fail")</f>
        <v>Fail</v>
      </c>
    </row>
    <row r="491" spans="1:43" x14ac:dyDescent="0.3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  <c r="AH491" t="str">
        <f>IF(StudentData[[#This Row],[G3]]&gt;=10,"Pass","Fail")</f>
        <v>Pass</v>
      </c>
      <c r="AI491">
        <f>IF(StudentData[[#This Row],[G3]]&lt;StudentData[[#This Row],[G2]],1,0)</f>
        <v>0</v>
      </c>
      <c r="AJ491">
        <f>IF(StudentData[[#This Row],[failures]]&gt;=2,100,IF(StudentData[[#This Row],[failures]]=1,60,0))</f>
        <v>60</v>
      </c>
      <c r="AK491">
        <f>IF(StudentData[[#This Row],[absences]]&gt;15,80,IF(StudentData[[#This Row],[absences]]&gt;10,50,0))</f>
        <v>0</v>
      </c>
      <c r="AL491">
        <f>IF(StudentData[[#This Row],[studytime]]=1,70,IF(StudentData[[#This Row],[studytime]]=2,40,0))</f>
        <v>70</v>
      </c>
      <c r="AM491">
        <f>IF(StudentData[[#This Row],[GradeDrop]]=1,50,0)</f>
        <v>0</v>
      </c>
      <c r="AN491">
        <f>0.4*StudentData[[#This Row],[FailureScore]]+0.3*StudentData[[#This Row],[AbsenceScore]]+0.2*StudentData[[#This Row],[StudyRisk]]+0.1*StudentData[[#This Row],[TrendRisk]]</f>
        <v>38</v>
      </c>
      <c r="AO491" t="str">
        <f>IF(StudentData[[#This Row],[RiskIndex]]&lt;=30,"Low",IF(StudentData[[#This Row],[RiskIndex]]&lt;=60,"Medium","High"))</f>
        <v>Medium</v>
      </c>
      <c r="AP491">
        <f>StudentData[[#This Row],[G3]]+('Intervention Simulator'!$C$2*1.5)</f>
        <v>10</v>
      </c>
      <c r="AQ491" t="str">
        <f>IF(StudentData[[#This Row],[ProjectedGrade]]&gt;=10,"Pass","Fail")</f>
        <v>Pass</v>
      </c>
    </row>
    <row r="492" spans="1:43" x14ac:dyDescent="0.3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  <c r="AH492" t="str">
        <f>IF(StudentData[[#This Row],[G3]]&gt;=10,"Pass","Fail")</f>
        <v>Pass</v>
      </c>
      <c r="AI492">
        <f>IF(StudentData[[#This Row],[G3]]&lt;StudentData[[#This Row],[G2]],1,0)</f>
        <v>1</v>
      </c>
      <c r="AJ492">
        <f>IF(StudentData[[#This Row],[failures]]&gt;=2,100,IF(StudentData[[#This Row],[failures]]=1,60,0))</f>
        <v>60</v>
      </c>
      <c r="AK492">
        <f>IF(StudentData[[#This Row],[absences]]&gt;15,80,IF(StudentData[[#This Row],[absences]]&gt;10,50,0))</f>
        <v>0</v>
      </c>
      <c r="AL492">
        <f>IF(StudentData[[#This Row],[studytime]]=1,70,IF(StudentData[[#This Row],[studytime]]=2,40,0))</f>
        <v>70</v>
      </c>
      <c r="AM492">
        <f>IF(StudentData[[#This Row],[GradeDrop]]=1,50,0)</f>
        <v>50</v>
      </c>
      <c r="AN492">
        <f>0.4*StudentData[[#This Row],[FailureScore]]+0.3*StudentData[[#This Row],[AbsenceScore]]+0.2*StudentData[[#This Row],[StudyRisk]]+0.1*StudentData[[#This Row],[TrendRisk]]</f>
        <v>43</v>
      </c>
      <c r="AO492" t="str">
        <f>IF(StudentData[[#This Row],[RiskIndex]]&lt;=30,"Low",IF(StudentData[[#This Row],[RiskIndex]]&lt;=60,"Medium","High"))</f>
        <v>Medium</v>
      </c>
      <c r="AP492">
        <f>StudentData[[#This Row],[G3]]+('Intervention Simulator'!$C$2*1.5)</f>
        <v>10</v>
      </c>
      <c r="AQ492" t="str">
        <f>IF(StudentData[[#This Row],[ProjectedGrade]]&gt;=10,"Pass","Fail")</f>
        <v>Pass</v>
      </c>
    </row>
    <row r="493" spans="1:43" x14ac:dyDescent="0.3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  <c r="AH493" t="str">
        <f>IF(StudentData[[#This Row],[G3]]&gt;=10,"Pass","Fail")</f>
        <v>Fail</v>
      </c>
      <c r="AI493">
        <f>IF(StudentData[[#This Row],[G3]]&lt;StudentData[[#This Row],[G2]],1,0)</f>
        <v>0</v>
      </c>
      <c r="AJ493">
        <f>IF(StudentData[[#This Row],[failures]]&gt;=2,100,IF(StudentData[[#This Row],[failures]]=1,60,0))</f>
        <v>60</v>
      </c>
      <c r="AK493">
        <f>IF(StudentData[[#This Row],[absences]]&gt;15,80,IF(StudentData[[#This Row],[absences]]&gt;10,50,0))</f>
        <v>50</v>
      </c>
      <c r="AL493">
        <f>IF(StudentData[[#This Row],[studytime]]=1,70,IF(StudentData[[#This Row],[studytime]]=2,40,0))</f>
        <v>40</v>
      </c>
      <c r="AM493">
        <f>IF(StudentData[[#This Row],[GradeDrop]]=1,50,0)</f>
        <v>0</v>
      </c>
      <c r="AN493">
        <f>0.4*StudentData[[#This Row],[FailureScore]]+0.3*StudentData[[#This Row],[AbsenceScore]]+0.2*StudentData[[#This Row],[StudyRisk]]+0.1*StudentData[[#This Row],[TrendRisk]]</f>
        <v>47</v>
      </c>
      <c r="AO493" t="str">
        <f>IF(StudentData[[#This Row],[RiskIndex]]&lt;=30,"Low",IF(StudentData[[#This Row],[RiskIndex]]&lt;=60,"Medium","High"))</f>
        <v>Medium</v>
      </c>
      <c r="AP493">
        <f>StudentData[[#This Row],[G3]]+('Intervention Simulator'!$C$2*1.5)</f>
        <v>9</v>
      </c>
      <c r="AQ493" t="str">
        <f>IF(StudentData[[#This Row],[ProjectedGrade]]&gt;=10,"Pass","Fail")</f>
        <v>Fail</v>
      </c>
    </row>
    <row r="494" spans="1:43" x14ac:dyDescent="0.3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  <c r="AH494" t="str">
        <f>IF(StudentData[[#This Row],[G3]]&gt;=10,"Pass","Fail")</f>
        <v>Pass</v>
      </c>
      <c r="AI494">
        <f>IF(StudentData[[#This Row],[G3]]&lt;StudentData[[#This Row],[G2]],1,0)</f>
        <v>0</v>
      </c>
      <c r="AJ494">
        <f>IF(StudentData[[#This Row],[failures]]&gt;=2,100,IF(StudentData[[#This Row],[failures]]=1,60,0))</f>
        <v>0</v>
      </c>
      <c r="AK494">
        <f>IF(StudentData[[#This Row],[absences]]&gt;15,80,IF(StudentData[[#This Row],[absences]]&gt;10,50,0))</f>
        <v>0</v>
      </c>
      <c r="AL494">
        <f>IF(StudentData[[#This Row],[studytime]]=1,70,IF(StudentData[[#This Row],[studytime]]=2,40,0))</f>
        <v>40</v>
      </c>
      <c r="AM494">
        <f>IF(StudentData[[#This Row],[GradeDrop]]=1,50,0)</f>
        <v>0</v>
      </c>
      <c r="AN494">
        <f>0.4*StudentData[[#This Row],[FailureScore]]+0.3*StudentData[[#This Row],[AbsenceScore]]+0.2*StudentData[[#This Row],[StudyRisk]]+0.1*StudentData[[#This Row],[TrendRisk]]</f>
        <v>8</v>
      </c>
      <c r="AO494" t="str">
        <f>IF(StudentData[[#This Row],[RiskIndex]]&lt;=30,"Low",IF(StudentData[[#This Row],[RiskIndex]]&lt;=60,"Medium","High"))</f>
        <v>Low</v>
      </c>
      <c r="AP494">
        <f>StudentData[[#This Row],[G3]]+('Intervention Simulator'!$C$2*1.5)</f>
        <v>10</v>
      </c>
      <c r="AQ494" t="str">
        <f>IF(StudentData[[#This Row],[ProjectedGrade]]&gt;=10,"Pass","Fail")</f>
        <v>Pass</v>
      </c>
    </row>
    <row r="495" spans="1:43" x14ac:dyDescent="0.3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  <c r="AH495" t="str">
        <f>IF(StudentData[[#This Row],[G3]]&gt;=10,"Pass","Fail")</f>
        <v>Pass</v>
      </c>
      <c r="AI495">
        <f>IF(StudentData[[#This Row],[G3]]&lt;StudentData[[#This Row],[G2]],1,0)</f>
        <v>0</v>
      </c>
      <c r="AJ495">
        <f>IF(StudentData[[#This Row],[failures]]&gt;=2,100,IF(StudentData[[#This Row],[failures]]=1,60,0))</f>
        <v>0</v>
      </c>
      <c r="AK495">
        <f>IF(StudentData[[#This Row],[absences]]&gt;15,80,IF(StudentData[[#This Row],[absences]]&gt;10,50,0))</f>
        <v>0</v>
      </c>
      <c r="AL495">
        <f>IF(StudentData[[#This Row],[studytime]]=1,70,IF(StudentData[[#This Row],[studytime]]=2,40,0))</f>
        <v>70</v>
      </c>
      <c r="AM495">
        <f>IF(StudentData[[#This Row],[GradeDrop]]=1,50,0)</f>
        <v>0</v>
      </c>
      <c r="AN495">
        <f>0.4*StudentData[[#This Row],[FailureScore]]+0.3*StudentData[[#This Row],[AbsenceScore]]+0.2*StudentData[[#This Row],[StudyRisk]]+0.1*StudentData[[#This Row],[TrendRisk]]</f>
        <v>14</v>
      </c>
      <c r="AO495" t="str">
        <f>IF(StudentData[[#This Row],[RiskIndex]]&lt;=30,"Low",IF(StudentData[[#This Row],[RiskIndex]]&lt;=60,"Medium","High"))</f>
        <v>Low</v>
      </c>
      <c r="AP495">
        <f>StudentData[[#This Row],[G3]]+('Intervention Simulator'!$C$2*1.5)</f>
        <v>10</v>
      </c>
      <c r="AQ495" t="str">
        <f>IF(StudentData[[#This Row],[ProjectedGrade]]&gt;=10,"Pass","Fail")</f>
        <v>Pass</v>
      </c>
    </row>
    <row r="496" spans="1:43" x14ac:dyDescent="0.3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  <c r="AH496" t="str">
        <f>IF(StudentData[[#This Row],[G3]]&gt;=10,"Pass","Fail")</f>
        <v>Fail</v>
      </c>
      <c r="AI496">
        <f>IF(StudentData[[#This Row],[G3]]&lt;StudentData[[#This Row],[G2]],1,0)</f>
        <v>0</v>
      </c>
      <c r="AJ496">
        <f>IF(StudentData[[#This Row],[failures]]&gt;=2,100,IF(StudentData[[#This Row],[failures]]=1,60,0))</f>
        <v>0</v>
      </c>
      <c r="AK496">
        <f>IF(StudentData[[#This Row],[absences]]&gt;15,80,IF(StudentData[[#This Row],[absences]]&gt;10,50,0))</f>
        <v>0</v>
      </c>
      <c r="AL496">
        <f>IF(StudentData[[#This Row],[studytime]]=1,70,IF(StudentData[[#This Row],[studytime]]=2,40,0))</f>
        <v>40</v>
      </c>
      <c r="AM496">
        <f>IF(StudentData[[#This Row],[GradeDrop]]=1,50,0)</f>
        <v>0</v>
      </c>
      <c r="AN496">
        <f>0.4*StudentData[[#This Row],[FailureScore]]+0.3*StudentData[[#This Row],[AbsenceScore]]+0.2*StudentData[[#This Row],[StudyRisk]]+0.1*StudentData[[#This Row],[TrendRisk]]</f>
        <v>8</v>
      </c>
      <c r="AO496" t="str">
        <f>IF(StudentData[[#This Row],[RiskIndex]]&lt;=30,"Low",IF(StudentData[[#This Row],[RiskIndex]]&lt;=60,"Medium","High"))</f>
        <v>Low</v>
      </c>
      <c r="AP496">
        <f>StudentData[[#This Row],[G3]]+('Intervention Simulator'!$C$2*1.5)</f>
        <v>9</v>
      </c>
      <c r="AQ496" t="str">
        <f>IF(StudentData[[#This Row],[ProjectedGrade]]&gt;=10,"Pass","Fail")</f>
        <v>Fail</v>
      </c>
    </row>
    <row r="497" spans="1:43" x14ac:dyDescent="0.3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  <c r="AH497" t="str">
        <f>IF(StudentData[[#This Row],[G3]]&gt;=10,"Pass","Fail")</f>
        <v>Pass</v>
      </c>
      <c r="AI497">
        <f>IF(StudentData[[#This Row],[G3]]&lt;StudentData[[#This Row],[G2]],1,0)</f>
        <v>0</v>
      </c>
      <c r="AJ497">
        <f>IF(StudentData[[#This Row],[failures]]&gt;=2,100,IF(StudentData[[#This Row],[failures]]=1,60,0))</f>
        <v>0</v>
      </c>
      <c r="AK497">
        <f>IF(StudentData[[#This Row],[absences]]&gt;15,80,IF(StudentData[[#This Row],[absences]]&gt;10,50,0))</f>
        <v>0</v>
      </c>
      <c r="AL497">
        <f>IF(StudentData[[#This Row],[studytime]]=1,70,IF(StudentData[[#This Row],[studytime]]=2,40,0))</f>
        <v>70</v>
      </c>
      <c r="AM497">
        <f>IF(StudentData[[#This Row],[GradeDrop]]=1,50,0)</f>
        <v>0</v>
      </c>
      <c r="AN497">
        <f>0.4*StudentData[[#This Row],[FailureScore]]+0.3*StudentData[[#This Row],[AbsenceScore]]+0.2*StudentData[[#This Row],[StudyRisk]]+0.1*StudentData[[#This Row],[TrendRisk]]</f>
        <v>14</v>
      </c>
      <c r="AO497" t="str">
        <f>IF(StudentData[[#This Row],[RiskIndex]]&lt;=30,"Low",IF(StudentData[[#This Row],[RiskIndex]]&lt;=60,"Medium","High"))</f>
        <v>Low</v>
      </c>
      <c r="AP497">
        <f>StudentData[[#This Row],[G3]]+('Intervention Simulator'!$C$2*1.5)</f>
        <v>13</v>
      </c>
      <c r="AQ497" t="str">
        <f>IF(StudentData[[#This Row],[ProjectedGrade]]&gt;=10,"Pass","Fail")</f>
        <v>Pass</v>
      </c>
    </row>
    <row r="498" spans="1:43" x14ac:dyDescent="0.3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  <c r="AH498" t="str">
        <f>IF(StudentData[[#This Row],[G3]]&gt;=10,"Pass","Fail")</f>
        <v>Pass</v>
      </c>
      <c r="AI498">
        <f>IF(StudentData[[#This Row],[G3]]&lt;StudentData[[#This Row],[G2]],1,0)</f>
        <v>0</v>
      </c>
      <c r="AJ498">
        <f>IF(StudentData[[#This Row],[failures]]&gt;=2,100,IF(StudentData[[#This Row],[failures]]=1,60,0))</f>
        <v>0</v>
      </c>
      <c r="AK498">
        <f>IF(StudentData[[#This Row],[absences]]&gt;15,80,IF(StudentData[[#This Row],[absences]]&gt;10,50,0))</f>
        <v>0</v>
      </c>
      <c r="AL498">
        <f>IF(StudentData[[#This Row],[studytime]]=1,70,IF(StudentData[[#This Row],[studytime]]=2,40,0))</f>
        <v>70</v>
      </c>
      <c r="AM498">
        <f>IF(StudentData[[#This Row],[GradeDrop]]=1,50,0)</f>
        <v>0</v>
      </c>
      <c r="AN498">
        <f>0.4*StudentData[[#This Row],[FailureScore]]+0.3*StudentData[[#This Row],[AbsenceScore]]+0.2*StudentData[[#This Row],[StudyRisk]]+0.1*StudentData[[#This Row],[TrendRisk]]</f>
        <v>14</v>
      </c>
      <c r="AO498" t="str">
        <f>IF(StudentData[[#This Row],[RiskIndex]]&lt;=30,"Low",IF(StudentData[[#This Row],[RiskIndex]]&lt;=60,"Medium","High"))</f>
        <v>Low</v>
      </c>
      <c r="AP498">
        <f>StudentData[[#This Row],[G3]]+('Intervention Simulator'!$C$2*1.5)</f>
        <v>14</v>
      </c>
      <c r="AQ498" t="str">
        <f>IF(StudentData[[#This Row],[ProjectedGrade]]&gt;=10,"Pass","Fail")</f>
        <v>Pass</v>
      </c>
    </row>
    <row r="499" spans="1:43" x14ac:dyDescent="0.3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  <c r="AH499" t="str">
        <f>IF(StudentData[[#This Row],[G3]]&gt;=10,"Pass","Fail")</f>
        <v>Pass</v>
      </c>
      <c r="AI499">
        <f>IF(StudentData[[#This Row],[G3]]&lt;StudentData[[#This Row],[G2]],1,0)</f>
        <v>1</v>
      </c>
      <c r="AJ499">
        <f>IF(StudentData[[#This Row],[failures]]&gt;=2,100,IF(StudentData[[#This Row],[failures]]=1,60,0))</f>
        <v>60</v>
      </c>
      <c r="AK499">
        <f>IF(StudentData[[#This Row],[absences]]&gt;15,80,IF(StudentData[[#This Row],[absences]]&gt;10,50,0))</f>
        <v>0</v>
      </c>
      <c r="AL499">
        <f>IF(StudentData[[#This Row],[studytime]]=1,70,IF(StudentData[[#This Row],[studytime]]=2,40,0))</f>
        <v>0</v>
      </c>
      <c r="AM499">
        <f>IF(StudentData[[#This Row],[GradeDrop]]=1,50,0)</f>
        <v>50</v>
      </c>
      <c r="AN499">
        <f>0.4*StudentData[[#This Row],[FailureScore]]+0.3*StudentData[[#This Row],[AbsenceScore]]+0.2*StudentData[[#This Row],[StudyRisk]]+0.1*StudentData[[#This Row],[TrendRisk]]</f>
        <v>29</v>
      </c>
      <c r="AO499" t="str">
        <f>IF(StudentData[[#This Row],[RiskIndex]]&lt;=30,"Low",IF(StudentData[[#This Row],[RiskIndex]]&lt;=60,"Medium","High"))</f>
        <v>Low</v>
      </c>
      <c r="AP499">
        <f>StudentData[[#This Row],[G3]]+('Intervention Simulator'!$C$2*1.5)</f>
        <v>10</v>
      </c>
      <c r="AQ499" t="str">
        <f>IF(StudentData[[#This Row],[ProjectedGrade]]&gt;=10,"Pass","Fail")</f>
        <v>Pass</v>
      </c>
    </row>
    <row r="500" spans="1:43" x14ac:dyDescent="0.3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  <c r="AH500" t="str">
        <f>IF(StudentData[[#This Row],[G3]]&gt;=10,"Pass","Fail")</f>
        <v>Pass</v>
      </c>
      <c r="AI500">
        <f>IF(StudentData[[#This Row],[G3]]&lt;StudentData[[#This Row],[G2]],1,0)</f>
        <v>0</v>
      </c>
      <c r="AJ500">
        <f>IF(StudentData[[#This Row],[failures]]&gt;=2,100,IF(StudentData[[#This Row],[failures]]=1,60,0))</f>
        <v>0</v>
      </c>
      <c r="AK500">
        <f>IF(StudentData[[#This Row],[absences]]&gt;15,80,IF(StudentData[[#This Row],[absences]]&gt;10,50,0))</f>
        <v>0</v>
      </c>
      <c r="AL500">
        <f>IF(StudentData[[#This Row],[studytime]]=1,70,IF(StudentData[[#This Row],[studytime]]=2,40,0))</f>
        <v>40</v>
      </c>
      <c r="AM500">
        <f>IF(StudentData[[#This Row],[GradeDrop]]=1,50,0)</f>
        <v>0</v>
      </c>
      <c r="AN500">
        <f>0.4*StudentData[[#This Row],[FailureScore]]+0.3*StudentData[[#This Row],[AbsenceScore]]+0.2*StudentData[[#This Row],[StudyRisk]]+0.1*StudentData[[#This Row],[TrendRisk]]</f>
        <v>8</v>
      </c>
      <c r="AO500" t="str">
        <f>IF(StudentData[[#This Row],[RiskIndex]]&lt;=30,"Low",IF(StudentData[[#This Row],[RiskIndex]]&lt;=60,"Medium","High"))</f>
        <v>Low</v>
      </c>
      <c r="AP500">
        <f>StudentData[[#This Row],[G3]]+('Intervention Simulator'!$C$2*1.5)</f>
        <v>14</v>
      </c>
      <c r="AQ500" t="str">
        <f>IF(StudentData[[#This Row],[ProjectedGrade]]&gt;=10,"Pass","Fail")</f>
        <v>Pass</v>
      </c>
    </row>
    <row r="501" spans="1:43" x14ac:dyDescent="0.3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  <c r="AH501" t="str">
        <f>IF(StudentData[[#This Row],[G3]]&gt;=10,"Pass","Fail")</f>
        <v>Pass</v>
      </c>
      <c r="AI501">
        <f>IF(StudentData[[#This Row],[G3]]&lt;StudentData[[#This Row],[G2]],1,0)</f>
        <v>0</v>
      </c>
      <c r="AJ501">
        <f>IF(StudentData[[#This Row],[failures]]&gt;=2,100,IF(StudentData[[#This Row],[failures]]=1,60,0))</f>
        <v>0</v>
      </c>
      <c r="AK501">
        <f>IF(StudentData[[#This Row],[absences]]&gt;15,80,IF(StudentData[[#This Row],[absences]]&gt;10,50,0))</f>
        <v>0</v>
      </c>
      <c r="AL501">
        <f>IF(StudentData[[#This Row],[studytime]]=1,70,IF(StudentData[[#This Row],[studytime]]=2,40,0))</f>
        <v>70</v>
      </c>
      <c r="AM501">
        <f>IF(StudentData[[#This Row],[GradeDrop]]=1,50,0)</f>
        <v>0</v>
      </c>
      <c r="AN501">
        <f>0.4*StudentData[[#This Row],[FailureScore]]+0.3*StudentData[[#This Row],[AbsenceScore]]+0.2*StudentData[[#This Row],[StudyRisk]]+0.1*StudentData[[#This Row],[TrendRisk]]</f>
        <v>14</v>
      </c>
      <c r="AO501" t="str">
        <f>IF(StudentData[[#This Row],[RiskIndex]]&lt;=30,"Low",IF(StudentData[[#This Row],[RiskIndex]]&lt;=60,"Medium","High"))</f>
        <v>Low</v>
      </c>
      <c r="AP501">
        <f>StudentData[[#This Row],[G3]]+('Intervention Simulator'!$C$2*1.5)</f>
        <v>16</v>
      </c>
      <c r="AQ501" t="str">
        <f>IF(StudentData[[#This Row],[ProjectedGrade]]&gt;=10,"Pass","Fail")</f>
        <v>Pass</v>
      </c>
    </row>
    <row r="502" spans="1:43" x14ac:dyDescent="0.3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  <c r="AH502" t="str">
        <f>IF(StudentData[[#This Row],[G3]]&gt;=10,"Pass","Fail")</f>
        <v>Fail</v>
      </c>
      <c r="AI502">
        <f>IF(StudentData[[#This Row],[G3]]&lt;StudentData[[#This Row],[G2]],1,0)</f>
        <v>0</v>
      </c>
      <c r="AJ502">
        <f>IF(StudentData[[#This Row],[failures]]&gt;=2,100,IF(StudentData[[#This Row],[failures]]=1,60,0))</f>
        <v>60</v>
      </c>
      <c r="AK502">
        <f>IF(StudentData[[#This Row],[absences]]&gt;15,80,IF(StudentData[[#This Row],[absences]]&gt;10,50,0))</f>
        <v>50</v>
      </c>
      <c r="AL502">
        <f>IF(StudentData[[#This Row],[studytime]]=1,70,IF(StudentData[[#This Row],[studytime]]=2,40,0))</f>
        <v>70</v>
      </c>
      <c r="AM502">
        <f>IF(StudentData[[#This Row],[GradeDrop]]=1,50,0)</f>
        <v>0</v>
      </c>
      <c r="AN502">
        <f>0.4*StudentData[[#This Row],[FailureScore]]+0.3*StudentData[[#This Row],[AbsenceScore]]+0.2*StudentData[[#This Row],[StudyRisk]]+0.1*StudentData[[#This Row],[TrendRisk]]</f>
        <v>53</v>
      </c>
      <c r="AO502" t="str">
        <f>IF(StudentData[[#This Row],[RiskIndex]]&lt;=30,"Low",IF(StudentData[[#This Row],[RiskIndex]]&lt;=60,"Medium","High"))</f>
        <v>Medium</v>
      </c>
      <c r="AP502">
        <f>StudentData[[#This Row],[G3]]+('Intervention Simulator'!$C$2*1.5)</f>
        <v>7</v>
      </c>
      <c r="AQ502" t="str">
        <f>IF(StudentData[[#This Row],[ProjectedGrade]]&gt;=10,"Pass","Fail")</f>
        <v>Fail</v>
      </c>
    </row>
    <row r="503" spans="1:43" x14ac:dyDescent="0.3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  <c r="AH503" t="str">
        <f>IF(StudentData[[#This Row],[G3]]&gt;=10,"Pass","Fail")</f>
        <v>Pass</v>
      </c>
      <c r="AI503">
        <f>IF(StudentData[[#This Row],[G3]]&lt;StudentData[[#This Row],[G2]],1,0)</f>
        <v>0</v>
      </c>
      <c r="AJ503">
        <f>IF(StudentData[[#This Row],[failures]]&gt;=2,100,IF(StudentData[[#This Row],[failures]]=1,60,0))</f>
        <v>0</v>
      </c>
      <c r="AK503">
        <f>IF(StudentData[[#This Row],[absences]]&gt;15,80,IF(StudentData[[#This Row],[absences]]&gt;10,50,0))</f>
        <v>0</v>
      </c>
      <c r="AL503">
        <f>IF(StudentData[[#This Row],[studytime]]=1,70,IF(StudentData[[#This Row],[studytime]]=2,40,0))</f>
        <v>70</v>
      </c>
      <c r="AM503">
        <f>IF(StudentData[[#This Row],[GradeDrop]]=1,50,0)</f>
        <v>0</v>
      </c>
      <c r="AN503">
        <f>0.4*StudentData[[#This Row],[FailureScore]]+0.3*StudentData[[#This Row],[AbsenceScore]]+0.2*StudentData[[#This Row],[StudyRisk]]+0.1*StudentData[[#This Row],[TrendRisk]]</f>
        <v>14</v>
      </c>
      <c r="AO503" t="str">
        <f>IF(StudentData[[#This Row],[RiskIndex]]&lt;=30,"Low",IF(StudentData[[#This Row],[RiskIndex]]&lt;=60,"Medium","High"))</f>
        <v>Low</v>
      </c>
      <c r="AP503">
        <f>StudentData[[#This Row],[G3]]+('Intervention Simulator'!$C$2*1.5)</f>
        <v>13</v>
      </c>
      <c r="AQ503" t="str">
        <f>IF(StudentData[[#This Row],[ProjectedGrade]]&gt;=10,"Pass","Fail")</f>
        <v>Pass</v>
      </c>
    </row>
    <row r="504" spans="1:43" x14ac:dyDescent="0.3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  <c r="AH504" t="str">
        <f>IF(StudentData[[#This Row],[G3]]&gt;=10,"Pass","Fail")</f>
        <v>Fail</v>
      </c>
      <c r="AI504">
        <f>IF(StudentData[[#This Row],[G3]]&lt;StudentData[[#This Row],[G2]],1,0)</f>
        <v>0</v>
      </c>
      <c r="AJ504">
        <f>IF(StudentData[[#This Row],[failures]]&gt;=2,100,IF(StudentData[[#This Row],[failures]]=1,60,0))</f>
        <v>60</v>
      </c>
      <c r="AK504">
        <f>IF(StudentData[[#This Row],[absences]]&gt;15,80,IF(StudentData[[#This Row],[absences]]&gt;10,50,0))</f>
        <v>0</v>
      </c>
      <c r="AL504">
        <f>IF(StudentData[[#This Row],[studytime]]=1,70,IF(StudentData[[#This Row],[studytime]]=2,40,0))</f>
        <v>0</v>
      </c>
      <c r="AM504">
        <f>IF(StudentData[[#This Row],[GradeDrop]]=1,50,0)</f>
        <v>0</v>
      </c>
      <c r="AN504">
        <f>0.4*StudentData[[#This Row],[FailureScore]]+0.3*StudentData[[#This Row],[AbsenceScore]]+0.2*StudentData[[#This Row],[StudyRisk]]+0.1*StudentData[[#This Row],[TrendRisk]]</f>
        <v>24</v>
      </c>
      <c r="AO504" t="str">
        <f>IF(StudentData[[#This Row],[RiskIndex]]&lt;=30,"Low",IF(StudentData[[#This Row],[RiskIndex]]&lt;=60,"Medium","High"))</f>
        <v>Low</v>
      </c>
      <c r="AP504">
        <f>StudentData[[#This Row],[G3]]+('Intervention Simulator'!$C$2*1.5)</f>
        <v>9</v>
      </c>
      <c r="AQ504" t="str">
        <f>IF(StudentData[[#This Row],[ProjectedGrade]]&gt;=10,"Pass","Fail")</f>
        <v>Fail</v>
      </c>
    </row>
    <row r="505" spans="1:43" x14ac:dyDescent="0.3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  <c r="AH505" t="str">
        <f>IF(StudentData[[#This Row],[G3]]&gt;=10,"Pass","Fail")</f>
        <v>Pass</v>
      </c>
      <c r="AI505">
        <f>IF(StudentData[[#This Row],[G3]]&lt;StudentData[[#This Row],[G2]],1,0)</f>
        <v>0</v>
      </c>
      <c r="AJ505">
        <f>IF(StudentData[[#This Row],[failures]]&gt;=2,100,IF(StudentData[[#This Row],[failures]]=1,60,0))</f>
        <v>0</v>
      </c>
      <c r="AK505">
        <f>IF(StudentData[[#This Row],[absences]]&gt;15,80,IF(StudentData[[#This Row],[absences]]&gt;10,50,0))</f>
        <v>0</v>
      </c>
      <c r="AL505">
        <f>IF(StudentData[[#This Row],[studytime]]=1,70,IF(StudentData[[#This Row],[studytime]]=2,40,0))</f>
        <v>0</v>
      </c>
      <c r="AM505">
        <f>IF(StudentData[[#This Row],[GradeDrop]]=1,50,0)</f>
        <v>0</v>
      </c>
      <c r="AN505">
        <f>0.4*StudentData[[#This Row],[FailureScore]]+0.3*StudentData[[#This Row],[AbsenceScore]]+0.2*StudentData[[#This Row],[StudyRisk]]+0.1*StudentData[[#This Row],[TrendRisk]]</f>
        <v>0</v>
      </c>
      <c r="AO505" t="str">
        <f>IF(StudentData[[#This Row],[RiskIndex]]&lt;=30,"Low",IF(StudentData[[#This Row],[RiskIndex]]&lt;=60,"Medium","High"))</f>
        <v>Low</v>
      </c>
      <c r="AP505">
        <f>StudentData[[#This Row],[G3]]+('Intervention Simulator'!$C$2*1.5)</f>
        <v>14</v>
      </c>
      <c r="AQ505" t="str">
        <f>IF(StudentData[[#This Row],[ProjectedGrade]]&gt;=10,"Pass","Fail")</f>
        <v>Pass</v>
      </c>
    </row>
    <row r="506" spans="1:43" x14ac:dyDescent="0.3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  <c r="AH506" t="str">
        <f>IF(StudentData[[#This Row],[G3]]&gt;=10,"Pass","Fail")</f>
        <v>Pass</v>
      </c>
      <c r="AI506">
        <f>IF(StudentData[[#This Row],[G3]]&lt;StudentData[[#This Row],[G2]],1,0)</f>
        <v>0</v>
      </c>
      <c r="AJ506">
        <f>IF(StudentData[[#This Row],[failures]]&gt;=2,100,IF(StudentData[[#This Row],[failures]]=1,60,0))</f>
        <v>0</v>
      </c>
      <c r="AK506">
        <f>IF(StudentData[[#This Row],[absences]]&gt;15,80,IF(StudentData[[#This Row],[absences]]&gt;10,50,0))</f>
        <v>0</v>
      </c>
      <c r="AL506">
        <f>IF(StudentData[[#This Row],[studytime]]=1,70,IF(StudentData[[#This Row],[studytime]]=2,40,0))</f>
        <v>0</v>
      </c>
      <c r="AM506">
        <f>IF(StudentData[[#This Row],[GradeDrop]]=1,50,0)</f>
        <v>0</v>
      </c>
      <c r="AN506">
        <f>0.4*StudentData[[#This Row],[FailureScore]]+0.3*StudentData[[#This Row],[AbsenceScore]]+0.2*StudentData[[#This Row],[StudyRisk]]+0.1*StudentData[[#This Row],[TrendRisk]]</f>
        <v>0</v>
      </c>
      <c r="AO506" t="str">
        <f>IF(StudentData[[#This Row],[RiskIndex]]&lt;=30,"Low",IF(StudentData[[#This Row],[RiskIndex]]&lt;=60,"Medium","High"))</f>
        <v>Low</v>
      </c>
      <c r="AP506">
        <f>StudentData[[#This Row],[G3]]+('Intervention Simulator'!$C$2*1.5)</f>
        <v>13</v>
      </c>
      <c r="AQ506" t="str">
        <f>IF(StudentData[[#This Row],[ProjectedGrade]]&gt;=10,"Pass","Fail")</f>
        <v>Pass</v>
      </c>
    </row>
    <row r="507" spans="1:43" x14ac:dyDescent="0.3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  <c r="AH507" t="str">
        <f>IF(StudentData[[#This Row],[G3]]&gt;=10,"Pass","Fail")</f>
        <v>Pass</v>
      </c>
      <c r="AI507">
        <f>IF(StudentData[[#This Row],[G3]]&lt;StudentData[[#This Row],[G2]],1,0)</f>
        <v>0</v>
      </c>
      <c r="AJ507">
        <f>IF(StudentData[[#This Row],[failures]]&gt;=2,100,IF(StudentData[[#This Row],[failures]]=1,60,0))</f>
        <v>0</v>
      </c>
      <c r="AK507">
        <f>IF(StudentData[[#This Row],[absences]]&gt;15,80,IF(StudentData[[#This Row],[absences]]&gt;10,50,0))</f>
        <v>0</v>
      </c>
      <c r="AL507">
        <f>IF(StudentData[[#This Row],[studytime]]=1,70,IF(StudentData[[#This Row],[studytime]]=2,40,0))</f>
        <v>70</v>
      </c>
      <c r="AM507">
        <f>IF(StudentData[[#This Row],[GradeDrop]]=1,50,0)</f>
        <v>0</v>
      </c>
      <c r="AN507">
        <f>0.4*StudentData[[#This Row],[FailureScore]]+0.3*StudentData[[#This Row],[AbsenceScore]]+0.2*StudentData[[#This Row],[StudyRisk]]+0.1*StudentData[[#This Row],[TrendRisk]]</f>
        <v>14</v>
      </c>
      <c r="AO507" t="str">
        <f>IF(StudentData[[#This Row],[RiskIndex]]&lt;=30,"Low",IF(StudentData[[#This Row],[RiskIndex]]&lt;=60,"Medium","High"))</f>
        <v>Low</v>
      </c>
      <c r="AP507">
        <f>StudentData[[#This Row],[G3]]+('Intervention Simulator'!$C$2*1.5)</f>
        <v>11</v>
      </c>
      <c r="AQ507" t="str">
        <f>IF(StudentData[[#This Row],[ProjectedGrade]]&gt;=10,"Pass","Fail")</f>
        <v>Pass</v>
      </c>
    </row>
    <row r="508" spans="1:43" x14ac:dyDescent="0.3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  <c r="AH508" t="str">
        <f>IF(StudentData[[#This Row],[G3]]&gt;=10,"Pass","Fail")</f>
        <v>Pass</v>
      </c>
      <c r="AI508">
        <f>IF(StudentData[[#This Row],[G3]]&lt;StudentData[[#This Row],[G2]],1,0)</f>
        <v>0</v>
      </c>
      <c r="AJ508">
        <f>IF(StudentData[[#This Row],[failures]]&gt;=2,100,IF(StudentData[[#This Row],[failures]]=1,60,0))</f>
        <v>60</v>
      </c>
      <c r="AK508">
        <f>IF(StudentData[[#This Row],[absences]]&gt;15,80,IF(StudentData[[#This Row],[absences]]&gt;10,50,0))</f>
        <v>0</v>
      </c>
      <c r="AL508">
        <f>IF(StudentData[[#This Row],[studytime]]=1,70,IF(StudentData[[#This Row],[studytime]]=2,40,0))</f>
        <v>40</v>
      </c>
      <c r="AM508">
        <f>IF(StudentData[[#This Row],[GradeDrop]]=1,50,0)</f>
        <v>0</v>
      </c>
      <c r="AN508">
        <f>0.4*StudentData[[#This Row],[FailureScore]]+0.3*StudentData[[#This Row],[AbsenceScore]]+0.2*StudentData[[#This Row],[StudyRisk]]+0.1*StudentData[[#This Row],[TrendRisk]]</f>
        <v>32</v>
      </c>
      <c r="AO508" t="str">
        <f>IF(StudentData[[#This Row],[RiskIndex]]&lt;=30,"Low",IF(StudentData[[#This Row],[RiskIndex]]&lt;=60,"Medium","High"))</f>
        <v>Medium</v>
      </c>
      <c r="AP508">
        <f>StudentData[[#This Row],[G3]]+('Intervention Simulator'!$C$2*1.5)</f>
        <v>10</v>
      </c>
      <c r="AQ508" t="str">
        <f>IF(StudentData[[#This Row],[ProjectedGrade]]&gt;=10,"Pass","Fail")</f>
        <v>Pass</v>
      </c>
    </row>
    <row r="509" spans="1:43" x14ac:dyDescent="0.3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  <c r="AH509" t="str">
        <f>IF(StudentData[[#This Row],[G3]]&gt;=10,"Pass","Fail")</f>
        <v>Pass</v>
      </c>
      <c r="AI509">
        <f>IF(StudentData[[#This Row],[G3]]&lt;StudentData[[#This Row],[G2]],1,0)</f>
        <v>1</v>
      </c>
      <c r="AJ509">
        <f>IF(StudentData[[#This Row],[failures]]&gt;=2,100,IF(StudentData[[#This Row],[failures]]=1,60,0))</f>
        <v>0</v>
      </c>
      <c r="AK509">
        <f>IF(StudentData[[#This Row],[absences]]&gt;15,80,IF(StudentData[[#This Row],[absences]]&gt;10,50,0))</f>
        <v>0</v>
      </c>
      <c r="AL509">
        <f>IF(StudentData[[#This Row],[studytime]]=1,70,IF(StudentData[[#This Row],[studytime]]=2,40,0))</f>
        <v>0</v>
      </c>
      <c r="AM509">
        <f>IF(StudentData[[#This Row],[GradeDrop]]=1,50,0)</f>
        <v>50</v>
      </c>
      <c r="AN509">
        <f>0.4*StudentData[[#This Row],[FailureScore]]+0.3*StudentData[[#This Row],[AbsenceScore]]+0.2*StudentData[[#This Row],[StudyRisk]]+0.1*StudentData[[#This Row],[TrendRisk]]</f>
        <v>5</v>
      </c>
      <c r="AO509" t="str">
        <f>IF(StudentData[[#This Row],[RiskIndex]]&lt;=30,"Low",IF(StudentData[[#This Row],[RiskIndex]]&lt;=60,"Medium","High"))</f>
        <v>Low</v>
      </c>
      <c r="AP509">
        <f>StudentData[[#This Row],[G3]]+('Intervention Simulator'!$C$2*1.5)</f>
        <v>10</v>
      </c>
      <c r="AQ509" t="str">
        <f>IF(StudentData[[#This Row],[ProjectedGrade]]&gt;=10,"Pass","Fail")</f>
        <v>Pass</v>
      </c>
    </row>
    <row r="510" spans="1:43" x14ac:dyDescent="0.3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  <c r="AH510" t="str">
        <f>IF(StudentData[[#This Row],[G3]]&gt;=10,"Pass","Fail")</f>
        <v>Fail</v>
      </c>
      <c r="AI510">
        <f>IF(StudentData[[#This Row],[G3]]&lt;StudentData[[#This Row],[G2]],1,0)</f>
        <v>0</v>
      </c>
      <c r="AJ510">
        <f>IF(StudentData[[#This Row],[failures]]&gt;=2,100,IF(StudentData[[#This Row],[failures]]=1,60,0))</f>
        <v>60</v>
      </c>
      <c r="AK510">
        <f>IF(StudentData[[#This Row],[absences]]&gt;15,80,IF(StudentData[[#This Row],[absences]]&gt;10,50,0))</f>
        <v>0</v>
      </c>
      <c r="AL510">
        <f>IF(StudentData[[#This Row],[studytime]]=1,70,IF(StudentData[[#This Row],[studytime]]=2,40,0))</f>
        <v>70</v>
      </c>
      <c r="AM510">
        <f>IF(StudentData[[#This Row],[GradeDrop]]=1,50,0)</f>
        <v>0</v>
      </c>
      <c r="AN510">
        <f>0.4*StudentData[[#This Row],[FailureScore]]+0.3*StudentData[[#This Row],[AbsenceScore]]+0.2*StudentData[[#This Row],[StudyRisk]]+0.1*StudentData[[#This Row],[TrendRisk]]</f>
        <v>38</v>
      </c>
      <c r="AO510" t="str">
        <f>IF(StudentData[[#This Row],[RiskIndex]]&lt;=30,"Low",IF(StudentData[[#This Row],[RiskIndex]]&lt;=60,"Medium","High"))</f>
        <v>Medium</v>
      </c>
      <c r="AP510">
        <f>StudentData[[#This Row],[G3]]+('Intervention Simulator'!$C$2*1.5)</f>
        <v>9</v>
      </c>
      <c r="AQ510" t="str">
        <f>IF(StudentData[[#This Row],[ProjectedGrade]]&gt;=10,"Pass","Fail")</f>
        <v>Fail</v>
      </c>
    </row>
    <row r="511" spans="1:43" x14ac:dyDescent="0.3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  <c r="AH511" t="str">
        <f>IF(StudentData[[#This Row],[G3]]&gt;=10,"Pass","Fail")</f>
        <v>Pass</v>
      </c>
      <c r="AI511">
        <f>IF(StudentData[[#This Row],[G3]]&lt;StudentData[[#This Row],[G2]],1,0)</f>
        <v>0</v>
      </c>
      <c r="AJ511">
        <f>IF(StudentData[[#This Row],[failures]]&gt;=2,100,IF(StudentData[[#This Row],[failures]]=1,60,0))</f>
        <v>0</v>
      </c>
      <c r="AK511">
        <f>IF(StudentData[[#This Row],[absences]]&gt;15,80,IF(StudentData[[#This Row],[absences]]&gt;10,50,0))</f>
        <v>0</v>
      </c>
      <c r="AL511">
        <f>IF(StudentData[[#This Row],[studytime]]=1,70,IF(StudentData[[#This Row],[studytime]]=2,40,0))</f>
        <v>40</v>
      </c>
      <c r="AM511">
        <f>IF(StudentData[[#This Row],[GradeDrop]]=1,50,0)</f>
        <v>0</v>
      </c>
      <c r="AN511">
        <f>0.4*StudentData[[#This Row],[FailureScore]]+0.3*StudentData[[#This Row],[AbsenceScore]]+0.2*StudentData[[#This Row],[StudyRisk]]+0.1*StudentData[[#This Row],[TrendRisk]]</f>
        <v>8</v>
      </c>
      <c r="AO511" t="str">
        <f>IF(StudentData[[#This Row],[RiskIndex]]&lt;=30,"Low",IF(StudentData[[#This Row],[RiskIndex]]&lt;=60,"Medium","High"))</f>
        <v>Low</v>
      </c>
      <c r="AP511">
        <f>StudentData[[#This Row],[G3]]+('Intervention Simulator'!$C$2*1.5)</f>
        <v>18</v>
      </c>
      <c r="AQ511" t="str">
        <f>IF(StudentData[[#This Row],[ProjectedGrade]]&gt;=10,"Pass","Fail")</f>
        <v>Pass</v>
      </c>
    </row>
    <row r="512" spans="1:43" x14ac:dyDescent="0.3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  <c r="AH512" t="str">
        <f>IF(StudentData[[#This Row],[G3]]&gt;=10,"Pass","Fail")</f>
        <v>Pass</v>
      </c>
      <c r="AI512">
        <f>IF(StudentData[[#This Row],[G3]]&lt;StudentData[[#This Row],[G2]],1,0)</f>
        <v>0</v>
      </c>
      <c r="AJ512">
        <f>IF(StudentData[[#This Row],[failures]]&gt;=2,100,IF(StudentData[[#This Row],[failures]]=1,60,0))</f>
        <v>0</v>
      </c>
      <c r="AK512">
        <f>IF(StudentData[[#This Row],[absences]]&gt;15,80,IF(StudentData[[#This Row],[absences]]&gt;10,50,0))</f>
        <v>0</v>
      </c>
      <c r="AL512">
        <f>IF(StudentData[[#This Row],[studytime]]=1,70,IF(StudentData[[#This Row],[studytime]]=2,40,0))</f>
        <v>40</v>
      </c>
      <c r="AM512">
        <f>IF(StudentData[[#This Row],[GradeDrop]]=1,50,0)</f>
        <v>0</v>
      </c>
      <c r="AN512">
        <f>0.4*StudentData[[#This Row],[FailureScore]]+0.3*StudentData[[#This Row],[AbsenceScore]]+0.2*StudentData[[#This Row],[StudyRisk]]+0.1*StudentData[[#This Row],[TrendRisk]]</f>
        <v>8</v>
      </c>
      <c r="AO512" t="str">
        <f>IF(StudentData[[#This Row],[RiskIndex]]&lt;=30,"Low",IF(StudentData[[#This Row],[RiskIndex]]&lt;=60,"Medium","High"))</f>
        <v>Low</v>
      </c>
      <c r="AP512">
        <f>StudentData[[#This Row],[G3]]+('Intervention Simulator'!$C$2*1.5)</f>
        <v>17</v>
      </c>
      <c r="AQ512" t="str">
        <f>IF(StudentData[[#This Row],[ProjectedGrade]]&gt;=10,"Pass","Fail")</f>
        <v>Pass</v>
      </c>
    </row>
    <row r="513" spans="1:43" x14ac:dyDescent="0.3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  <c r="AH513" t="str">
        <f>IF(StudentData[[#This Row],[G3]]&gt;=10,"Pass","Fail")</f>
        <v>Pass</v>
      </c>
      <c r="AI513">
        <f>IF(StudentData[[#This Row],[G3]]&lt;StudentData[[#This Row],[G2]],1,0)</f>
        <v>0</v>
      </c>
      <c r="AJ513">
        <f>IF(StudentData[[#This Row],[failures]]&gt;=2,100,IF(StudentData[[#This Row],[failures]]=1,60,0))</f>
        <v>0</v>
      </c>
      <c r="AK513">
        <f>IF(StudentData[[#This Row],[absences]]&gt;15,80,IF(StudentData[[#This Row],[absences]]&gt;10,50,0))</f>
        <v>0</v>
      </c>
      <c r="AL513">
        <f>IF(StudentData[[#This Row],[studytime]]=1,70,IF(StudentData[[#This Row],[studytime]]=2,40,0))</f>
        <v>40</v>
      </c>
      <c r="AM513">
        <f>IF(StudentData[[#This Row],[GradeDrop]]=1,50,0)</f>
        <v>0</v>
      </c>
      <c r="AN513">
        <f>0.4*StudentData[[#This Row],[FailureScore]]+0.3*StudentData[[#This Row],[AbsenceScore]]+0.2*StudentData[[#This Row],[StudyRisk]]+0.1*StudentData[[#This Row],[TrendRisk]]</f>
        <v>8</v>
      </c>
      <c r="AO513" t="str">
        <f>IF(StudentData[[#This Row],[RiskIndex]]&lt;=30,"Low",IF(StudentData[[#This Row],[RiskIndex]]&lt;=60,"Medium","High"))</f>
        <v>Low</v>
      </c>
      <c r="AP513">
        <f>StudentData[[#This Row],[G3]]+('Intervention Simulator'!$C$2*1.5)</f>
        <v>10</v>
      </c>
      <c r="AQ513" t="str">
        <f>IF(StudentData[[#This Row],[ProjectedGrade]]&gt;=10,"Pass","Fail")</f>
        <v>Pass</v>
      </c>
    </row>
    <row r="514" spans="1:43" x14ac:dyDescent="0.3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  <c r="AH514" t="str">
        <f>IF(StudentData[[#This Row],[G3]]&gt;=10,"Pass","Fail")</f>
        <v>Fail</v>
      </c>
      <c r="AI514">
        <f>IF(StudentData[[#This Row],[G3]]&lt;StudentData[[#This Row],[G2]],1,0)</f>
        <v>0</v>
      </c>
      <c r="AJ514">
        <f>IF(StudentData[[#This Row],[failures]]&gt;=2,100,IF(StudentData[[#This Row],[failures]]=1,60,0))</f>
        <v>60</v>
      </c>
      <c r="AK514">
        <f>IF(StudentData[[#This Row],[absences]]&gt;15,80,IF(StudentData[[#This Row],[absences]]&gt;10,50,0))</f>
        <v>0</v>
      </c>
      <c r="AL514">
        <f>IF(StudentData[[#This Row],[studytime]]=1,70,IF(StudentData[[#This Row],[studytime]]=2,40,0))</f>
        <v>40</v>
      </c>
      <c r="AM514">
        <f>IF(StudentData[[#This Row],[GradeDrop]]=1,50,0)</f>
        <v>0</v>
      </c>
      <c r="AN514">
        <f>0.4*StudentData[[#This Row],[FailureScore]]+0.3*StudentData[[#This Row],[AbsenceScore]]+0.2*StudentData[[#This Row],[StudyRisk]]+0.1*StudentData[[#This Row],[TrendRisk]]</f>
        <v>32</v>
      </c>
      <c r="AO514" t="str">
        <f>IF(StudentData[[#This Row],[RiskIndex]]&lt;=30,"Low",IF(StudentData[[#This Row],[RiskIndex]]&lt;=60,"Medium","High"))</f>
        <v>Medium</v>
      </c>
      <c r="AP514">
        <f>StudentData[[#This Row],[G3]]+('Intervention Simulator'!$C$2*1.5)</f>
        <v>7</v>
      </c>
      <c r="AQ514" t="str">
        <f>IF(StudentData[[#This Row],[ProjectedGrade]]&gt;=10,"Pass","Fail")</f>
        <v>Fail</v>
      </c>
    </row>
    <row r="515" spans="1:43" x14ac:dyDescent="0.3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  <c r="AH515" t="str">
        <f>IF(StudentData[[#This Row],[G3]]&gt;=10,"Pass","Fail")</f>
        <v>Fail</v>
      </c>
      <c r="AI515">
        <f>IF(StudentData[[#This Row],[G3]]&lt;StudentData[[#This Row],[G2]],1,0)</f>
        <v>0</v>
      </c>
      <c r="AJ515">
        <f>IF(StudentData[[#This Row],[failures]]&gt;=2,100,IF(StudentData[[#This Row],[failures]]=1,60,0))</f>
        <v>0</v>
      </c>
      <c r="AK515">
        <f>IF(StudentData[[#This Row],[absences]]&gt;15,80,IF(StudentData[[#This Row],[absences]]&gt;10,50,0))</f>
        <v>0</v>
      </c>
      <c r="AL515">
        <f>IF(StudentData[[#This Row],[studytime]]=1,70,IF(StudentData[[#This Row],[studytime]]=2,40,0))</f>
        <v>70</v>
      </c>
      <c r="AM515">
        <f>IF(StudentData[[#This Row],[GradeDrop]]=1,50,0)</f>
        <v>0</v>
      </c>
      <c r="AN515">
        <f>0.4*StudentData[[#This Row],[FailureScore]]+0.3*StudentData[[#This Row],[AbsenceScore]]+0.2*StudentData[[#This Row],[StudyRisk]]+0.1*StudentData[[#This Row],[TrendRisk]]</f>
        <v>14</v>
      </c>
      <c r="AO515" t="str">
        <f>IF(StudentData[[#This Row],[RiskIndex]]&lt;=30,"Low",IF(StudentData[[#This Row],[RiskIndex]]&lt;=60,"Medium","High"))</f>
        <v>Low</v>
      </c>
      <c r="AP515">
        <f>StudentData[[#This Row],[G3]]+('Intervention Simulator'!$C$2*1.5)</f>
        <v>8</v>
      </c>
      <c r="AQ515" t="str">
        <f>IF(StudentData[[#This Row],[ProjectedGrade]]&gt;=10,"Pass","Fail")</f>
        <v>Fail</v>
      </c>
    </row>
    <row r="516" spans="1:43" x14ac:dyDescent="0.3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  <c r="AH516" t="str">
        <f>IF(StudentData[[#This Row],[G3]]&gt;=10,"Pass","Fail")</f>
        <v>Fail</v>
      </c>
      <c r="AI516">
        <f>IF(StudentData[[#This Row],[G3]]&lt;StudentData[[#This Row],[G2]],1,0)</f>
        <v>0</v>
      </c>
      <c r="AJ516">
        <f>IF(StudentData[[#This Row],[failures]]&gt;=2,100,IF(StudentData[[#This Row],[failures]]=1,60,0))</f>
        <v>0</v>
      </c>
      <c r="AK516">
        <f>IF(StudentData[[#This Row],[absences]]&gt;15,80,IF(StudentData[[#This Row],[absences]]&gt;10,50,0))</f>
        <v>0</v>
      </c>
      <c r="AL516">
        <f>IF(StudentData[[#This Row],[studytime]]=1,70,IF(StudentData[[#This Row],[studytime]]=2,40,0))</f>
        <v>70</v>
      </c>
      <c r="AM516">
        <f>IF(StudentData[[#This Row],[GradeDrop]]=1,50,0)</f>
        <v>0</v>
      </c>
      <c r="AN516">
        <f>0.4*StudentData[[#This Row],[FailureScore]]+0.3*StudentData[[#This Row],[AbsenceScore]]+0.2*StudentData[[#This Row],[StudyRisk]]+0.1*StudentData[[#This Row],[TrendRisk]]</f>
        <v>14</v>
      </c>
      <c r="AO516" t="str">
        <f>IF(StudentData[[#This Row],[RiskIndex]]&lt;=30,"Low",IF(StudentData[[#This Row],[RiskIndex]]&lt;=60,"Medium","High"))</f>
        <v>Low</v>
      </c>
      <c r="AP516">
        <f>StudentData[[#This Row],[G3]]+('Intervention Simulator'!$C$2*1.5)</f>
        <v>7</v>
      </c>
      <c r="AQ516" t="str">
        <f>IF(StudentData[[#This Row],[ProjectedGrade]]&gt;=10,"Pass","Fail")</f>
        <v>Fail</v>
      </c>
    </row>
    <row r="517" spans="1:43" x14ac:dyDescent="0.3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  <c r="AH517" t="str">
        <f>IF(StudentData[[#This Row],[G3]]&gt;=10,"Pass","Fail")</f>
        <v>Pass</v>
      </c>
      <c r="AI517">
        <f>IF(StudentData[[#This Row],[G3]]&lt;StudentData[[#This Row],[G2]],1,0)</f>
        <v>0</v>
      </c>
      <c r="AJ517">
        <f>IF(StudentData[[#This Row],[failures]]&gt;=2,100,IF(StudentData[[#This Row],[failures]]=1,60,0))</f>
        <v>0</v>
      </c>
      <c r="AK517">
        <f>IF(StudentData[[#This Row],[absences]]&gt;15,80,IF(StudentData[[#This Row],[absences]]&gt;10,50,0))</f>
        <v>0</v>
      </c>
      <c r="AL517">
        <f>IF(StudentData[[#This Row],[studytime]]=1,70,IF(StudentData[[#This Row],[studytime]]=2,40,0))</f>
        <v>40</v>
      </c>
      <c r="AM517">
        <f>IF(StudentData[[#This Row],[GradeDrop]]=1,50,0)</f>
        <v>0</v>
      </c>
      <c r="AN517">
        <f>0.4*StudentData[[#This Row],[FailureScore]]+0.3*StudentData[[#This Row],[AbsenceScore]]+0.2*StudentData[[#This Row],[StudyRisk]]+0.1*StudentData[[#This Row],[TrendRisk]]</f>
        <v>8</v>
      </c>
      <c r="AO517" t="str">
        <f>IF(StudentData[[#This Row],[RiskIndex]]&lt;=30,"Low",IF(StudentData[[#This Row],[RiskIndex]]&lt;=60,"Medium","High"))</f>
        <v>Low</v>
      </c>
      <c r="AP517">
        <f>StudentData[[#This Row],[G3]]+('Intervention Simulator'!$C$2*1.5)</f>
        <v>10</v>
      </c>
      <c r="AQ517" t="str">
        <f>IF(StudentData[[#This Row],[ProjectedGrade]]&gt;=10,"Pass","Fail")</f>
        <v>Pass</v>
      </c>
    </row>
    <row r="518" spans="1:43" x14ac:dyDescent="0.3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  <c r="AH518" t="str">
        <f>IF(StudentData[[#This Row],[G3]]&gt;=10,"Pass","Fail")</f>
        <v>Pass</v>
      </c>
      <c r="AI518">
        <f>IF(StudentData[[#This Row],[G3]]&lt;StudentData[[#This Row],[G2]],1,0)</f>
        <v>0</v>
      </c>
      <c r="AJ518">
        <f>IF(StudentData[[#This Row],[failures]]&gt;=2,100,IF(StudentData[[#This Row],[failures]]=1,60,0))</f>
        <v>0</v>
      </c>
      <c r="AK518">
        <f>IF(StudentData[[#This Row],[absences]]&gt;15,80,IF(StudentData[[#This Row],[absences]]&gt;10,50,0))</f>
        <v>0</v>
      </c>
      <c r="AL518">
        <f>IF(StudentData[[#This Row],[studytime]]=1,70,IF(StudentData[[#This Row],[studytime]]=2,40,0))</f>
        <v>40</v>
      </c>
      <c r="AM518">
        <f>IF(StudentData[[#This Row],[GradeDrop]]=1,50,0)</f>
        <v>0</v>
      </c>
      <c r="AN518">
        <f>0.4*StudentData[[#This Row],[FailureScore]]+0.3*StudentData[[#This Row],[AbsenceScore]]+0.2*StudentData[[#This Row],[StudyRisk]]+0.1*StudentData[[#This Row],[TrendRisk]]</f>
        <v>8</v>
      </c>
      <c r="AO518" t="str">
        <f>IF(StudentData[[#This Row],[RiskIndex]]&lt;=30,"Low",IF(StudentData[[#This Row],[RiskIndex]]&lt;=60,"Medium","High"))</f>
        <v>Low</v>
      </c>
      <c r="AP518">
        <f>StudentData[[#This Row],[G3]]+('Intervention Simulator'!$C$2*1.5)</f>
        <v>16</v>
      </c>
      <c r="AQ518" t="str">
        <f>IF(StudentData[[#This Row],[ProjectedGrade]]&gt;=10,"Pass","Fail")</f>
        <v>Pass</v>
      </c>
    </row>
    <row r="519" spans="1:43" x14ac:dyDescent="0.3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  <c r="AH519" t="str">
        <f>IF(StudentData[[#This Row],[G3]]&gt;=10,"Pass","Fail")</f>
        <v>Pass</v>
      </c>
      <c r="AI519">
        <f>IF(StudentData[[#This Row],[G3]]&lt;StudentData[[#This Row],[G2]],1,0)</f>
        <v>0</v>
      </c>
      <c r="AJ519">
        <f>IF(StudentData[[#This Row],[failures]]&gt;=2,100,IF(StudentData[[#This Row],[failures]]=1,60,0))</f>
        <v>0</v>
      </c>
      <c r="AK519">
        <f>IF(StudentData[[#This Row],[absences]]&gt;15,80,IF(StudentData[[#This Row],[absences]]&gt;10,50,0))</f>
        <v>0</v>
      </c>
      <c r="AL519">
        <f>IF(StudentData[[#This Row],[studytime]]=1,70,IF(StudentData[[#This Row],[studytime]]=2,40,0))</f>
        <v>70</v>
      </c>
      <c r="AM519">
        <f>IF(StudentData[[#This Row],[GradeDrop]]=1,50,0)</f>
        <v>0</v>
      </c>
      <c r="AN519">
        <f>0.4*StudentData[[#This Row],[FailureScore]]+0.3*StudentData[[#This Row],[AbsenceScore]]+0.2*StudentData[[#This Row],[StudyRisk]]+0.1*StudentData[[#This Row],[TrendRisk]]</f>
        <v>14</v>
      </c>
      <c r="AO519" t="str">
        <f>IF(StudentData[[#This Row],[RiskIndex]]&lt;=30,"Low",IF(StudentData[[#This Row],[RiskIndex]]&lt;=60,"Medium","High"))</f>
        <v>Low</v>
      </c>
      <c r="AP519">
        <f>StudentData[[#This Row],[G3]]+('Intervention Simulator'!$C$2*1.5)</f>
        <v>15</v>
      </c>
      <c r="AQ519" t="str">
        <f>IF(StudentData[[#This Row],[ProjectedGrade]]&gt;=10,"Pass","Fail")</f>
        <v>Pass</v>
      </c>
    </row>
    <row r="520" spans="1:43" x14ac:dyDescent="0.3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  <c r="AH520" t="str">
        <f>IF(StudentData[[#This Row],[G3]]&gt;=10,"Pass","Fail")</f>
        <v>Fail</v>
      </c>
      <c r="AI520">
        <f>IF(StudentData[[#This Row],[G3]]&lt;StudentData[[#This Row],[G2]],1,0)</f>
        <v>0</v>
      </c>
      <c r="AJ520">
        <f>IF(StudentData[[#This Row],[failures]]&gt;=2,100,IF(StudentData[[#This Row],[failures]]=1,60,0))</f>
        <v>60</v>
      </c>
      <c r="AK520">
        <f>IF(StudentData[[#This Row],[absences]]&gt;15,80,IF(StudentData[[#This Row],[absences]]&gt;10,50,0))</f>
        <v>0</v>
      </c>
      <c r="AL520">
        <f>IF(StudentData[[#This Row],[studytime]]=1,70,IF(StudentData[[#This Row],[studytime]]=2,40,0))</f>
        <v>40</v>
      </c>
      <c r="AM520">
        <f>IF(StudentData[[#This Row],[GradeDrop]]=1,50,0)</f>
        <v>0</v>
      </c>
      <c r="AN520">
        <f>0.4*StudentData[[#This Row],[FailureScore]]+0.3*StudentData[[#This Row],[AbsenceScore]]+0.2*StudentData[[#This Row],[StudyRisk]]+0.1*StudentData[[#This Row],[TrendRisk]]</f>
        <v>32</v>
      </c>
      <c r="AO520" t="str">
        <f>IF(StudentData[[#This Row],[RiskIndex]]&lt;=30,"Low",IF(StudentData[[#This Row],[RiskIndex]]&lt;=60,"Medium","High"))</f>
        <v>Medium</v>
      </c>
      <c r="AP520">
        <f>StudentData[[#This Row],[G3]]+('Intervention Simulator'!$C$2*1.5)</f>
        <v>8</v>
      </c>
      <c r="AQ520" t="str">
        <f>IF(StudentData[[#This Row],[ProjectedGrade]]&gt;=10,"Pass","Fail")</f>
        <v>Fail</v>
      </c>
    </row>
    <row r="521" spans="1:43" x14ac:dyDescent="0.3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  <c r="AH521" t="str">
        <f>IF(StudentData[[#This Row],[G3]]&gt;=10,"Pass","Fail")</f>
        <v>Fail</v>
      </c>
      <c r="AI521">
        <f>IF(StudentData[[#This Row],[G3]]&lt;StudentData[[#This Row],[G2]],1,0)</f>
        <v>1</v>
      </c>
      <c r="AJ521">
        <f>IF(StudentData[[#This Row],[failures]]&gt;=2,100,IF(StudentData[[#This Row],[failures]]=1,60,0))</f>
        <v>0</v>
      </c>
      <c r="AK521">
        <f>IF(StudentData[[#This Row],[absences]]&gt;15,80,IF(StudentData[[#This Row],[absences]]&gt;10,50,0))</f>
        <v>0</v>
      </c>
      <c r="AL521">
        <f>IF(StudentData[[#This Row],[studytime]]=1,70,IF(StudentData[[#This Row],[studytime]]=2,40,0))</f>
        <v>40</v>
      </c>
      <c r="AM521">
        <f>IF(StudentData[[#This Row],[GradeDrop]]=1,50,0)</f>
        <v>50</v>
      </c>
      <c r="AN521">
        <f>0.4*StudentData[[#This Row],[FailureScore]]+0.3*StudentData[[#This Row],[AbsenceScore]]+0.2*StudentData[[#This Row],[StudyRisk]]+0.1*StudentData[[#This Row],[TrendRisk]]</f>
        <v>13</v>
      </c>
      <c r="AO521" t="str">
        <f>IF(StudentData[[#This Row],[RiskIndex]]&lt;=30,"Low",IF(StudentData[[#This Row],[RiskIndex]]&lt;=60,"Medium","High"))</f>
        <v>Low</v>
      </c>
      <c r="AP521">
        <f>StudentData[[#This Row],[G3]]+('Intervention Simulator'!$C$2*1.5)</f>
        <v>0</v>
      </c>
      <c r="AQ521" t="str">
        <f>IF(StudentData[[#This Row],[ProjectedGrade]]&gt;=10,"Pass","Fail")</f>
        <v>Fail</v>
      </c>
    </row>
    <row r="522" spans="1:43" x14ac:dyDescent="0.3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  <c r="AH522" t="str">
        <f>IF(StudentData[[#This Row],[G3]]&gt;=10,"Pass","Fail")</f>
        <v>Fail</v>
      </c>
      <c r="AI522">
        <f>IF(StudentData[[#This Row],[G3]]&lt;StudentData[[#This Row],[G2]],1,0)</f>
        <v>0</v>
      </c>
      <c r="AJ522">
        <f>IF(StudentData[[#This Row],[failures]]&gt;=2,100,IF(StudentData[[#This Row],[failures]]=1,60,0))</f>
        <v>0</v>
      </c>
      <c r="AK522">
        <f>IF(StudentData[[#This Row],[absences]]&gt;15,80,IF(StudentData[[#This Row],[absences]]&gt;10,50,0))</f>
        <v>0</v>
      </c>
      <c r="AL522">
        <f>IF(StudentData[[#This Row],[studytime]]=1,70,IF(StudentData[[#This Row],[studytime]]=2,40,0))</f>
        <v>40</v>
      </c>
      <c r="AM522">
        <f>IF(StudentData[[#This Row],[GradeDrop]]=1,50,0)</f>
        <v>0</v>
      </c>
      <c r="AN522">
        <f>0.4*StudentData[[#This Row],[FailureScore]]+0.3*StudentData[[#This Row],[AbsenceScore]]+0.2*StudentData[[#This Row],[StudyRisk]]+0.1*StudentData[[#This Row],[TrendRisk]]</f>
        <v>8</v>
      </c>
      <c r="AO522" t="str">
        <f>IF(StudentData[[#This Row],[RiskIndex]]&lt;=30,"Low",IF(StudentData[[#This Row],[RiskIndex]]&lt;=60,"Medium","High"))</f>
        <v>Low</v>
      </c>
      <c r="AP522">
        <f>StudentData[[#This Row],[G3]]+('Intervention Simulator'!$C$2*1.5)</f>
        <v>8</v>
      </c>
      <c r="AQ522" t="str">
        <f>IF(StudentData[[#This Row],[ProjectedGrade]]&gt;=10,"Pass","Fail")</f>
        <v>Fail</v>
      </c>
    </row>
    <row r="523" spans="1:43" x14ac:dyDescent="0.3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  <c r="AH523" t="str">
        <f>IF(StudentData[[#This Row],[G3]]&gt;=10,"Pass","Fail")</f>
        <v>Pass</v>
      </c>
      <c r="AI523">
        <f>IF(StudentData[[#This Row],[G3]]&lt;StudentData[[#This Row],[G2]],1,0)</f>
        <v>0</v>
      </c>
      <c r="AJ523">
        <f>IF(StudentData[[#This Row],[failures]]&gt;=2,100,IF(StudentData[[#This Row],[failures]]=1,60,0))</f>
        <v>0</v>
      </c>
      <c r="AK523">
        <f>IF(StudentData[[#This Row],[absences]]&gt;15,80,IF(StudentData[[#This Row],[absences]]&gt;10,50,0))</f>
        <v>0</v>
      </c>
      <c r="AL523">
        <f>IF(StudentData[[#This Row],[studytime]]=1,70,IF(StudentData[[#This Row],[studytime]]=2,40,0))</f>
        <v>40</v>
      </c>
      <c r="AM523">
        <f>IF(StudentData[[#This Row],[GradeDrop]]=1,50,0)</f>
        <v>0</v>
      </c>
      <c r="AN523">
        <f>0.4*StudentData[[#This Row],[FailureScore]]+0.3*StudentData[[#This Row],[AbsenceScore]]+0.2*StudentData[[#This Row],[StudyRisk]]+0.1*StudentData[[#This Row],[TrendRisk]]</f>
        <v>8</v>
      </c>
      <c r="AO523" t="str">
        <f>IF(StudentData[[#This Row],[RiskIndex]]&lt;=30,"Low",IF(StudentData[[#This Row],[RiskIndex]]&lt;=60,"Medium","High"))</f>
        <v>Low</v>
      </c>
      <c r="AP523">
        <f>StudentData[[#This Row],[G3]]+('Intervention Simulator'!$C$2*1.5)</f>
        <v>10</v>
      </c>
      <c r="AQ523" t="str">
        <f>IF(StudentData[[#This Row],[ProjectedGrade]]&gt;=10,"Pass","Fail")</f>
        <v>Pass</v>
      </c>
    </row>
    <row r="524" spans="1:43" x14ac:dyDescent="0.3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  <c r="AH524" t="str">
        <f>IF(StudentData[[#This Row],[G3]]&gt;=10,"Pass","Fail")</f>
        <v>Fail</v>
      </c>
      <c r="AI524">
        <f>IF(StudentData[[#This Row],[G3]]&lt;StudentData[[#This Row],[G2]],1,0)</f>
        <v>0</v>
      </c>
      <c r="AJ524">
        <f>IF(StudentData[[#This Row],[failures]]&gt;=2,100,IF(StudentData[[#This Row],[failures]]=1,60,0))</f>
        <v>0</v>
      </c>
      <c r="AK524">
        <f>IF(StudentData[[#This Row],[absences]]&gt;15,80,IF(StudentData[[#This Row],[absences]]&gt;10,50,0))</f>
        <v>0</v>
      </c>
      <c r="AL524">
        <f>IF(StudentData[[#This Row],[studytime]]=1,70,IF(StudentData[[#This Row],[studytime]]=2,40,0))</f>
        <v>40</v>
      </c>
      <c r="AM524">
        <f>IF(StudentData[[#This Row],[GradeDrop]]=1,50,0)</f>
        <v>0</v>
      </c>
      <c r="AN524">
        <f>0.4*StudentData[[#This Row],[FailureScore]]+0.3*StudentData[[#This Row],[AbsenceScore]]+0.2*StudentData[[#This Row],[StudyRisk]]+0.1*StudentData[[#This Row],[TrendRisk]]</f>
        <v>8</v>
      </c>
      <c r="AO524" t="str">
        <f>IF(StudentData[[#This Row],[RiskIndex]]&lt;=30,"Low",IF(StudentData[[#This Row],[RiskIndex]]&lt;=60,"Medium","High"))</f>
        <v>Low</v>
      </c>
      <c r="AP524">
        <f>StudentData[[#This Row],[G3]]+('Intervention Simulator'!$C$2*1.5)</f>
        <v>8</v>
      </c>
      <c r="AQ524" t="str">
        <f>IF(StudentData[[#This Row],[ProjectedGrade]]&gt;=10,"Pass","Fail")</f>
        <v>Fail</v>
      </c>
    </row>
    <row r="525" spans="1:43" x14ac:dyDescent="0.3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  <c r="AH525" t="str">
        <f>IF(StudentData[[#This Row],[G3]]&gt;=10,"Pass","Fail")</f>
        <v>Fail</v>
      </c>
      <c r="AI525">
        <f>IF(StudentData[[#This Row],[G3]]&lt;StudentData[[#This Row],[G2]],1,0)</f>
        <v>0</v>
      </c>
      <c r="AJ525">
        <f>IF(StudentData[[#This Row],[failures]]&gt;=2,100,IF(StudentData[[#This Row],[failures]]=1,60,0))</f>
        <v>0</v>
      </c>
      <c r="AK525">
        <f>IF(StudentData[[#This Row],[absences]]&gt;15,80,IF(StudentData[[#This Row],[absences]]&gt;10,50,0))</f>
        <v>0</v>
      </c>
      <c r="AL525">
        <f>IF(StudentData[[#This Row],[studytime]]=1,70,IF(StudentData[[#This Row],[studytime]]=2,40,0))</f>
        <v>0</v>
      </c>
      <c r="AM525">
        <f>IF(StudentData[[#This Row],[GradeDrop]]=1,50,0)</f>
        <v>0</v>
      </c>
      <c r="AN525">
        <f>0.4*StudentData[[#This Row],[FailureScore]]+0.3*StudentData[[#This Row],[AbsenceScore]]+0.2*StudentData[[#This Row],[StudyRisk]]+0.1*StudentData[[#This Row],[TrendRisk]]</f>
        <v>0</v>
      </c>
      <c r="AO525" t="str">
        <f>IF(StudentData[[#This Row],[RiskIndex]]&lt;=30,"Low",IF(StudentData[[#This Row],[RiskIndex]]&lt;=60,"Medium","High"))</f>
        <v>Low</v>
      </c>
      <c r="AP525">
        <f>StudentData[[#This Row],[G3]]+('Intervention Simulator'!$C$2*1.5)</f>
        <v>6</v>
      </c>
      <c r="AQ525" t="str">
        <f>IF(StudentData[[#This Row],[ProjectedGrade]]&gt;=10,"Pass","Fail")</f>
        <v>Fail</v>
      </c>
    </row>
    <row r="526" spans="1:43" x14ac:dyDescent="0.3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  <c r="AH526" t="str">
        <f>IF(StudentData[[#This Row],[G3]]&gt;=10,"Pass","Fail")</f>
        <v>Fail</v>
      </c>
      <c r="AI526">
        <f>IF(StudentData[[#This Row],[G3]]&lt;StudentData[[#This Row],[G2]],1,0)</f>
        <v>1</v>
      </c>
      <c r="AJ526">
        <f>IF(StudentData[[#This Row],[failures]]&gt;=2,100,IF(StudentData[[#This Row],[failures]]=1,60,0))</f>
        <v>0</v>
      </c>
      <c r="AK526">
        <f>IF(StudentData[[#This Row],[absences]]&gt;15,80,IF(StudentData[[#This Row],[absences]]&gt;10,50,0))</f>
        <v>0</v>
      </c>
      <c r="AL526">
        <f>IF(StudentData[[#This Row],[studytime]]=1,70,IF(StudentData[[#This Row],[studytime]]=2,40,0))</f>
        <v>40</v>
      </c>
      <c r="AM526">
        <f>IF(StudentData[[#This Row],[GradeDrop]]=1,50,0)</f>
        <v>50</v>
      </c>
      <c r="AN526">
        <f>0.4*StudentData[[#This Row],[FailureScore]]+0.3*StudentData[[#This Row],[AbsenceScore]]+0.2*StudentData[[#This Row],[StudyRisk]]+0.1*StudentData[[#This Row],[TrendRisk]]</f>
        <v>13</v>
      </c>
      <c r="AO526" t="str">
        <f>IF(StudentData[[#This Row],[RiskIndex]]&lt;=30,"Low",IF(StudentData[[#This Row],[RiskIndex]]&lt;=60,"Medium","High"))</f>
        <v>Low</v>
      </c>
      <c r="AP526">
        <f>StudentData[[#This Row],[G3]]+('Intervention Simulator'!$C$2*1.5)</f>
        <v>8</v>
      </c>
      <c r="AQ526" t="str">
        <f>IF(StudentData[[#This Row],[ProjectedGrade]]&gt;=10,"Pass","Fail")</f>
        <v>Fail</v>
      </c>
    </row>
    <row r="527" spans="1:43" x14ac:dyDescent="0.3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  <c r="AH527" t="str">
        <f>IF(StudentData[[#This Row],[G3]]&gt;=10,"Pass","Fail")</f>
        <v>Pass</v>
      </c>
      <c r="AI527">
        <f>IF(StudentData[[#This Row],[G3]]&lt;StudentData[[#This Row],[G2]],1,0)</f>
        <v>0</v>
      </c>
      <c r="AJ527">
        <f>IF(StudentData[[#This Row],[failures]]&gt;=2,100,IF(StudentData[[#This Row],[failures]]=1,60,0))</f>
        <v>0</v>
      </c>
      <c r="AK527">
        <f>IF(StudentData[[#This Row],[absences]]&gt;15,80,IF(StudentData[[#This Row],[absences]]&gt;10,50,0))</f>
        <v>0</v>
      </c>
      <c r="AL527">
        <f>IF(StudentData[[#This Row],[studytime]]=1,70,IF(StudentData[[#This Row],[studytime]]=2,40,0))</f>
        <v>0</v>
      </c>
      <c r="AM527">
        <f>IF(StudentData[[#This Row],[GradeDrop]]=1,50,0)</f>
        <v>0</v>
      </c>
      <c r="AN527">
        <f>0.4*StudentData[[#This Row],[FailureScore]]+0.3*StudentData[[#This Row],[AbsenceScore]]+0.2*StudentData[[#This Row],[StudyRisk]]+0.1*StudentData[[#This Row],[TrendRisk]]</f>
        <v>0</v>
      </c>
      <c r="AO527" t="str">
        <f>IF(StudentData[[#This Row],[RiskIndex]]&lt;=30,"Low",IF(StudentData[[#This Row],[RiskIndex]]&lt;=60,"Medium","High"))</f>
        <v>Low</v>
      </c>
      <c r="AP527">
        <f>StudentData[[#This Row],[G3]]+('Intervention Simulator'!$C$2*1.5)</f>
        <v>16</v>
      </c>
      <c r="AQ527" t="str">
        <f>IF(StudentData[[#This Row],[ProjectedGrade]]&gt;=10,"Pass","Fail")</f>
        <v>Pass</v>
      </c>
    </row>
    <row r="528" spans="1:43" x14ac:dyDescent="0.3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  <c r="AH528" t="str">
        <f>IF(StudentData[[#This Row],[G3]]&gt;=10,"Pass","Fail")</f>
        <v>Pass</v>
      </c>
      <c r="AI528">
        <f>IF(StudentData[[#This Row],[G3]]&lt;StudentData[[#This Row],[G2]],1,0)</f>
        <v>0</v>
      </c>
      <c r="AJ528">
        <f>IF(StudentData[[#This Row],[failures]]&gt;=2,100,IF(StudentData[[#This Row],[failures]]=1,60,0))</f>
        <v>0</v>
      </c>
      <c r="AK528">
        <f>IF(StudentData[[#This Row],[absences]]&gt;15,80,IF(StudentData[[#This Row],[absences]]&gt;10,50,0))</f>
        <v>0</v>
      </c>
      <c r="AL528">
        <f>IF(StudentData[[#This Row],[studytime]]=1,70,IF(StudentData[[#This Row],[studytime]]=2,40,0))</f>
        <v>70</v>
      </c>
      <c r="AM528">
        <f>IF(StudentData[[#This Row],[GradeDrop]]=1,50,0)</f>
        <v>0</v>
      </c>
      <c r="AN528">
        <f>0.4*StudentData[[#This Row],[FailureScore]]+0.3*StudentData[[#This Row],[AbsenceScore]]+0.2*StudentData[[#This Row],[StudyRisk]]+0.1*StudentData[[#This Row],[TrendRisk]]</f>
        <v>14</v>
      </c>
      <c r="AO528" t="str">
        <f>IF(StudentData[[#This Row],[RiskIndex]]&lt;=30,"Low",IF(StudentData[[#This Row],[RiskIndex]]&lt;=60,"Medium","High"))</f>
        <v>Low</v>
      </c>
      <c r="AP528">
        <f>StudentData[[#This Row],[G3]]+('Intervention Simulator'!$C$2*1.5)</f>
        <v>14</v>
      </c>
      <c r="AQ528" t="str">
        <f>IF(StudentData[[#This Row],[ProjectedGrade]]&gt;=10,"Pass","Fail")</f>
        <v>Pass</v>
      </c>
    </row>
    <row r="529" spans="1:43" x14ac:dyDescent="0.3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  <c r="AH529" t="str">
        <f>IF(StudentData[[#This Row],[G3]]&gt;=10,"Pass","Fail")</f>
        <v>Pass</v>
      </c>
      <c r="AI529">
        <f>IF(StudentData[[#This Row],[G3]]&lt;StudentData[[#This Row],[G2]],1,0)</f>
        <v>0</v>
      </c>
      <c r="AJ529">
        <f>IF(StudentData[[#This Row],[failures]]&gt;=2,100,IF(StudentData[[#This Row],[failures]]=1,60,0))</f>
        <v>0</v>
      </c>
      <c r="AK529">
        <f>IF(StudentData[[#This Row],[absences]]&gt;15,80,IF(StudentData[[#This Row],[absences]]&gt;10,50,0))</f>
        <v>0</v>
      </c>
      <c r="AL529">
        <f>IF(StudentData[[#This Row],[studytime]]=1,70,IF(StudentData[[#This Row],[studytime]]=2,40,0))</f>
        <v>0</v>
      </c>
      <c r="AM529">
        <f>IF(StudentData[[#This Row],[GradeDrop]]=1,50,0)</f>
        <v>0</v>
      </c>
      <c r="AN529">
        <f>0.4*StudentData[[#This Row],[FailureScore]]+0.3*StudentData[[#This Row],[AbsenceScore]]+0.2*StudentData[[#This Row],[StudyRisk]]+0.1*StudentData[[#This Row],[TrendRisk]]</f>
        <v>0</v>
      </c>
      <c r="AO529" t="str">
        <f>IF(StudentData[[#This Row],[RiskIndex]]&lt;=30,"Low",IF(StudentData[[#This Row],[RiskIndex]]&lt;=60,"Medium","High"))</f>
        <v>Low</v>
      </c>
      <c r="AP529">
        <f>StudentData[[#This Row],[G3]]+('Intervention Simulator'!$C$2*1.5)</f>
        <v>10</v>
      </c>
      <c r="AQ529" t="str">
        <f>IF(StudentData[[#This Row],[ProjectedGrade]]&gt;=10,"Pass","Fail")</f>
        <v>Pass</v>
      </c>
    </row>
    <row r="530" spans="1:43" x14ac:dyDescent="0.3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  <c r="AH530" t="str">
        <f>IF(StudentData[[#This Row],[G3]]&gt;=10,"Pass","Fail")</f>
        <v>Fail</v>
      </c>
      <c r="AI530">
        <f>IF(StudentData[[#This Row],[G3]]&lt;StudentData[[#This Row],[G2]],1,0)</f>
        <v>0</v>
      </c>
      <c r="AJ530">
        <f>IF(StudentData[[#This Row],[failures]]&gt;=2,100,IF(StudentData[[#This Row],[failures]]=1,60,0))</f>
        <v>0</v>
      </c>
      <c r="AK530">
        <f>IF(StudentData[[#This Row],[absences]]&gt;15,80,IF(StudentData[[#This Row],[absences]]&gt;10,50,0))</f>
        <v>0</v>
      </c>
      <c r="AL530">
        <f>IF(StudentData[[#This Row],[studytime]]=1,70,IF(StudentData[[#This Row],[studytime]]=2,40,0))</f>
        <v>70</v>
      </c>
      <c r="AM530">
        <f>IF(StudentData[[#This Row],[GradeDrop]]=1,50,0)</f>
        <v>0</v>
      </c>
      <c r="AN530">
        <f>0.4*StudentData[[#This Row],[FailureScore]]+0.3*StudentData[[#This Row],[AbsenceScore]]+0.2*StudentData[[#This Row],[StudyRisk]]+0.1*StudentData[[#This Row],[TrendRisk]]</f>
        <v>14</v>
      </c>
      <c r="AO530" t="str">
        <f>IF(StudentData[[#This Row],[RiskIndex]]&lt;=30,"Low",IF(StudentData[[#This Row],[RiskIndex]]&lt;=60,"Medium","High"))</f>
        <v>Low</v>
      </c>
      <c r="AP530">
        <f>StudentData[[#This Row],[G3]]+('Intervention Simulator'!$C$2*1.5)</f>
        <v>9</v>
      </c>
      <c r="AQ530" t="str">
        <f>IF(StudentData[[#This Row],[ProjectedGrade]]&gt;=10,"Pass","Fail")</f>
        <v>Fail</v>
      </c>
    </row>
    <row r="531" spans="1:43" x14ac:dyDescent="0.3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  <c r="AH531" t="str">
        <f>IF(StudentData[[#This Row],[G3]]&gt;=10,"Pass","Fail")</f>
        <v>Pass</v>
      </c>
      <c r="AI531">
        <f>IF(StudentData[[#This Row],[G3]]&lt;StudentData[[#This Row],[G2]],1,0)</f>
        <v>0</v>
      </c>
      <c r="AJ531">
        <f>IF(StudentData[[#This Row],[failures]]&gt;=2,100,IF(StudentData[[#This Row],[failures]]=1,60,0))</f>
        <v>0</v>
      </c>
      <c r="AK531">
        <f>IF(StudentData[[#This Row],[absences]]&gt;15,80,IF(StudentData[[#This Row],[absences]]&gt;10,50,0))</f>
        <v>0</v>
      </c>
      <c r="AL531">
        <f>IF(StudentData[[#This Row],[studytime]]=1,70,IF(StudentData[[#This Row],[studytime]]=2,40,0))</f>
        <v>70</v>
      </c>
      <c r="AM531">
        <f>IF(StudentData[[#This Row],[GradeDrop]]=1,50,0)</f>
        <v>0</v>
      </c>
      <c r="AN531">
        <f>0.4*StudentData[[#This Row],[FailureScore]]+0.3*StudentData[[#This Row],[AbsenceScore]]+0.2*StudentData[[#This Row],[StudyRisk]]+0.1*StudentData[[#This Row],[TrendRisk]]</f>
        <v>14</v>
      </c>
      <c r="AO531" t="str">
        <f>IF(StudentData[[#This Row],[RiskIndex]]&lt;=30,"Low",IF(StudentData[[#This Row],[RiskIndex]]&lt;=60,"Medium","High"))</f>
        <v>Low</v>
      </c>
      <c r="AP531">
        <f>StudentData[[#This Row],[G3]]+('Intervention Simulator'!$C$2*1.5)</f>
        <v>11</v>
      </c>
      <c r="AQ531" t="str">
        <f>IF(StudentData[[#This Row],[ProjectedGrade]]&gt;=10,"Pass","Fail")</f>
        <v>Pass</v>
      </c>
    </row>
    <row r="532" spans="1:43" x14ac:dyDescent="0.3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  <c r="AH532" t="str">
        <f>IF(StudentData[[#This Row],[G3]]&gt;=10,"Pass","Fail")</f>
        <v>Fail</v>
      </c>
      <c r="AI532">
        <f>IF(StudentData[[#This Row],[G3]]&lt;StudentData[[#This Row],[G2]],1,0)</f>
        <v>1</v>
      </c>
      <c r="AJ532">
        <f>IF(StudentData[[#This Row],[failures]]&gt;=2,100,IF(StudentData[[#This Row],[failures]]=1,60,0))</f>
        <v>0</v>
      </c>
      <c r="AK532">
        <f>IF(StudentData[[#This Row],[absences]]&gt;15,80,IF(StudentData[[#This Row],[absences]]&gt;10,50,0))</f>
        <v>0</v>
      </c>
      <c r="AL532">
        <f>IF(StudentData[[#This Row],[studytime]]=1,70,IF(StudentData[[#This Row],[studytime]]=2,40,0))</f>
        <v>70</v>
      </c>
      <c r="AM532">
        <f>IF(StudentData[[#This Row],[GradeDrop]]=1,50,0)</f>
        <v>50</v>
      </c>
      <c r="AN532">
        <f>0.4*StudentData[[#This Row],[FailureScore]]+0.3*StudentData[[#This Row],[AbsenceScore]]+0.2*StudentData[[#This Row],[StudyRisk]]+0.1*StudentData[[#This Row],[TrendRisk]]</f>
        <v>19</v>
      </c>
      <c r="AO532" t="str">
        <f>IF(StudentData[[#This Row],[RiskIndex]]&lt;=30,"Low",IF(StudentData[[#This Row],[RiskIndex]]&lt;=60,"Medium","High"))</f>
        <v>Low</v>
      </c>
      <c r="AP532">
        <f>StudentData[[#This Row],[G3]]+('Intervention Simulator'!$C$2*1.5)</f>
        <v>9</v>
      </c>
      <c r="AQ532" t="str">
        <f>IF(StudentData[[#This Row],[ProjectedGrade]]&gt;=10,"Pass","Fail")</f>
        <v>Fail</v>
      </c>
    </row>
    <row r="533" spans="1:43" x14ac:dyDescent="0.3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  <c r="AH533" t="str">
        <f>IF(StudentData[[#This Row],[G3]]&gt;=10,"Pass","Fail")</f>
        <v>Pass</v>
      </c>
      <c r="AI533">
        <f>IF(StudentData[[#This Row],[G3]]&lt;StudentData[[#This Row],[G2]],1,0)</f>
        <v>0</v>
      </c>
      <c r="AJ533">
        <f>IF(StudentData[[#This Row],[failures]]&gt;=2,100,IF(StudentData[[#This Row],[failures]]=1,60,0))</f>
        <v>0</v>
      </c>
      <c r="AK533">
        <f>IF(StudentData[[#This Row],[absences]]&gt;15,80,IF(StudentData[[#This Row],[absences]]&gt;10,50,0))</f>
        <v>0</v>
      </c>
      <c r="AL533">
        <f>IF(StudentData[[#This Row],[studytime]]=1,70,IF(StudentData[[#This Row],[studytime]]=2,40,0))</f>
        <v>40</v>
      </c>
      <c r="AM533">
        <f>IF(StudentData[[#This Row],[GradeDrop]]=1,50,0)</f>
        <v>0</v>
      </c>
      <c r="AN533">
        <f>0.4*StudentData[[#This Row],[FailureScore]]+0.3*StudentData[[#This Row],[AbsenceScore]]+0.2*StudentData[[#This Row],[StudyRisk]]+0.1*StudentData[[#This Row],[TrendRisk]]</f>
        <v>8</v>
      </c>
      <c r="AO533" t="str">
        <f>IF(StudentData[[#This Row],[RiskIndex]]&lt;=30,"Low",IF(StudentData[[#This Row],[RiskIndex]]&lt;=60,"Medium","High"))</f>
        <v>Low</v>
      </c>
      <c r="AP533">
        <f>StudentData[[#This Row],[G3]]+('Intervention Simulator'!$C$2*1.5)</f>
        <v>10</v>
      </c>
      <c r="AQ533" t="str">
        <f>IF(StudentData[[#This Row],[ProjectedGrade]]&gt;=10,"Pass","Fail")</f>
        <v>Pass</v>
      </c>
    </row>
    <row r="534" spans="1:43" x14ac:dyDescent="0.3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  <c r="AH534" t="str">
        <f>IF(StudentData[[#This Row],[G3]]&gt;=10,"Pass","Fail")</f>
        <v>Fail</v>
      </c>
      <c r="AI534">
        <f>IF(StudentData[[#This Row],[G3]]&lt;StudentData[[#This Row],[G2]],1,0)</f>
        <v>0</v>
      </c>
      <c r="AJ534">
        <f>IF(StudentData[[#This Row],[failures]]&gt;=2,100,IF(StudentData[[#This Row],[failures]]=1,60,0))</f>
        <v>0</v>
      </c>
      <c r="AK534">
        <f>IF(StudentData[[#This Row],[absences]]&gt;15,80,IF(StudentData[[#This Row],[absences]]&gt;10,50,0))</f>
        <v>0</v>
      </c>
      <c r="AL534">
        <f>IF(StudentData[[#This Row],[studytime]]=1,70,IF(StudentData[[#This Row],[studytime]]=2,40,0))</f>
        <v>40</v>
      </c>
      <c r="AM534">
        <f>IF(StudentData[[#This Row],[GradeDrop]]=1,50,0)</f>
        <v>0</v>
      </c>
      <c r="AN534">
        <f>0.4*StudentData[[#This Row],[FailureScore]]+0.3*StudentData[[#This Row],[AbsenceScore]]+0.2*StudentData[[#This Row],[StudyRisk]]+0.1*StudentData[[#This Row],[TrendRisk]]</f>
        <v>8</v>
      </c>
      <c r="AO534" t="str">
        <f>IF(StudentData[[#This Row],[RiskIndex]]&lt;=30,"Low",IF(StudentData[[#This Row],[RiskIndex]]&lt;=60,"Medium","High"))</f>
        <v>Low</v>
      </c>
      <c r="AP534">
        <f>StudentData[[#This Row],[G3]]+('Intervention Simulator'!$C$2*1.5)</f>
        <v>8</v>
      </c>
      <c r="AQ534" t="str">
        <f>IF(StudentData[[#This Row],[ProjectedGrade]]&gt;=10,"Pass","Fail")</f>
        <v>Fail</v>
      </c>
    </row>
    <row r="535" spans="1:43" x14ac:dyDescent="0.3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  <c r="AH535" t="str">
        <f>IF(StudentData[[#This Row],[G3]]&gt;=10,"Pass","Fail")</f>
        <v>Pass</v>
      </c>
      <c r="AI535">
        <f>IF(StudentData[[#This Row],[G3]]&lt;StudentData[[#This Row],[G2]],1,0)</f>
        <v>0</v>
      </c>
      <c r="AJ535">
        <f>IF(StudentData[[#This Row],[failures]]&gt;=2,100,IF(StudentData[[#This Row],[failures]]=1,60,0))</f>
        <v>0</v>
      </c>
      <c r="AK535">
        <f>IF(StudentData[[#This Row],[absences]]&gt;15,80,IF(StudentData[[#This Row],[absences]]&gt;10,50,0))</f>
        <v>0</v>
      </c>
      <c r="AL535">
        <f>IF(StudentData[[#This Row],[studytime]]=1,70,IF(StudentData[[#This Row],[studytime]]=2,40,0))</f>
        <v>40</v>
      </c>
      <c r="AM535">
        <f>IF(StudentData[[#This Row],[GradeDrop]]=1,50,0)</f>
        <v>0</v>
      </c>
      <c r="AN535">
        <f>0.4*StudentData[[#This Row],[FailureScore]]+0.3*StudentData[[#This Row],[AbsenceScore]]+0.2*StudentData[[#This Row],[StudyRisk]]+0.1*StudentData[[#This Row],[TrendRisk]]</f>
        <v>8</v>
      </c>
      <c r="AO535" t="str">
        <f>IF(StudentData[[#This Row],[RiskIndex]]&lt;=30,"Low",IF(StudentData[[#This Row],[RiskIndex]]&lt;=60,"Medium","High"))</f>
        <v>Low</v>
      </c>
      <c r="AP535">
        <f>StudentData[[#This Row],[G3]]+('Intervention Simulator'!$C$2*1.5)</f>
        <v>16</v>
      </c>
      <c r="AQ535" t="str">
        <f>IF(StudentData[[#This Row],[ProjectedGrade]]&gt;=10,"Pass","Fail")</f>
        <v>Pass</v>
      </c>
    </row>
    <row r="536" spans="1:43" x14ac:dyDescent="0.3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  <c r="AH536" t="str">
        <f>IF(StudentData[[#This Row],[G3]]&gt;=10,"Pass","Fail")</f>
        <v>Pass</v>
      </c>
      <c r="AI536">
        <f>IF(StudentData[[#This Row],[G3]]&lt;StudentData[[#This Row],[G2]],1,0)</f>
        <v>0</v>
      </c>
      <c r="AJ536">
        <f>IF(StudentData[[#This Row],[failures]]&gt;=2,100,IF(StudentData[[#This Row],[failures]]=1,60,0))</f>
        <v>0</v>
      </c>
      <c r="AK536">
        <f>IF(StudentData[[#This Row],[absences]]&gt;15,80,IF(StudentData[[#This Row],[absences]]&gt;10,50,0))</f>
        <v>0</v>
      </c>
      <c r="AL536">
        <f>IF(StudentData[[#This Row],[studytime]]=1,70,IF(StudentData[[#This Row],[studytime]]=2,40,0))</f>
        <v>70</v>
      </c>
      <c r="AM536">
        <f>IF(StudentData[[#This Row],[GradeDrop]]=1,50,0)</f>
        <v>0</v>
      </c>
      <c r="AN536">
        <f>0.4*StudentData[[#This Row],[FailureScore]]+0.3*StudentData[[#This Row],[AbsenceScore]]+0.2*StudentData[[#This Row],[StudyRisk]]+0.1*StudentData[[#This Row],[TrendRisk]]</f>
        <v>14</v>
      </c>
      <c r="AO536" t="str">
        <f>IF(StudentData[[#This Row],[RiskIndex]]&lt;=30,"Low",IF(StudentData[[#This Row],[RiskIndex]]&lt;=60,"Medium","High"))</f>
        <v>Low</v>
      </c>
      <c r="AP536">
        <f>StudentData[[#This Row],[G3]]+('Intervention Simulator'!$C$2*1.5)</f>
        <v>12</v>
      </c>
      <c r="AQ536" t="str">
        <f>IF(StudentData[[#This Row],[ProjectedGrade]]&gt;=10,"Pass","Fail")</f>
        <v>Pass</v>
      </c>
    </row>
    <row r="537" spans="1:43" x14ac:dyDescent="0.3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  <c r="AH537" t="str">
        <f>IF(StudentData[[#This Row],[G3]]&gt;=10,"Pass","Fail")</f>
        <v>Pass</v>
      </c>
      <c r="AI537">
        <f>IF(StudentData[[#This Row],[G3]]&lt;StudentData[[#This Row],[G2]],1,0)</f>
        <v>1</v>
      </c>
      <c r="AJ537">
        <f>IF(StudentData[[#This Row],[failures]]&gt;=2,100,IF(StudentData[[#This Row],[failures]]=1,60,0))</f>
        <v>0</v>
      </c>
      <c r="AK537">
        <f>IF(StudentData[[#This Row],[absences]]&gt;15,80,IF(StudentData[[#This Row],[absences]]&gt;10,50,0))</f>
        <v>50</v>
      </c>
      <c r="AL537">
        <f>IF(StudentData[[#This Row],[studytime]]=1,70,IF(StudentData[[#This Row],[studytime]]=2,40,0))</f>
        <v>40</v>
      </c>
      <c r="AM537">
        <f>IF(StudentData[[#This Row],[GradeDrop]]=1,50,0)</f>
        <v>50</v>
      </c>
      <c r="AN537">
        <f>0.4*StudentData[[#This Row],[FailureScore]]+0.3*StudentData[[#This Row],[AbsenceScore]]+0.2*StudentData[[#This Row],[StudyRisk]]+0.1*StudentData[[#This Row],[TrendRisk]]</f>
        <v>28</v>
      </c>
      <c r="AO537" t="str">
        <f>IF(StudentData[[#This Row],[RiskIndex]]&lt;=30,"Low",IF(StudentData[[#This Row],[RiskIndex]]&lt;=60,"Medium","High"))</f>
        <v>Low</v>
      </c>
      <c r="AP537">
        <f>StudentData[[#This Row],[G3]]+('Intervention Simulator'!$C$2*1.5)</f>
        <v>10</v>
      </c>
      <c r="AQ537" t="str">
        <f>IF(StudentData[[#This Row],[ProjectedGrade]]&gt;=10,"Pass","Fail")</f>
        <v>Pass</v>
      </c>
    </row>
    <row r="538" spans="1:43" x14ac:dyDescent="0.3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  <c r="AH538" t="str">
        <f>IF(StudentData[[#This Row],[G3]]&gt;=10,"Pass","Fail")</f>
        <v>Pass</v>
      </c>
      <c r="AI538">
        <f>IF(StudentData[[#This Row],[G3]]&lt;StudentData[[#This Row],[G2]],1,0)</f>
        <v>0</v>
      </c>
      <c r="AJ538">
        <f>IF(StudentData[[#This Row],[failures]]&gt;=2,100,IF(StudentData[[#This Row],[failures]]=1,60,0))</f>
        <v>0</v>
      </c>
      <c r="AK538">
        <f>IF(StudentData[[#This Row],[absences]]&gt;15,80,IF(StudentData[[#This Row],[absences]]&gt;10,50,0))</f>
        <v>0</v>
      </c>
      <c r="AL538">
        <f>IF(StudentData[[#This Row],[studytime]]=1,70,IF(StudentData[[#This Row],[studytime]]=2,40,0))</f>
        <v>0</v>
      </c>
      <c r="AM538">
        <f>IF(StudentData[[#This Row],[GradeDrop]]=1,50,0)</f>
        <v>0</v>
      </c>
      <c r="AN538">
        <f>0.4*StudentData[[#This Row],[FailureScore]]+0.3*StudentData[[#This Row],[AbsenceScore]]+0.2*StudentData[[#This Row],[StudyRisk]]+0.1*StudentData[[#This Row],[TrendRisk]]</f>
        <v>0</v>
      </c>
      <c r="AO538" t="str">
        <f>IF(StudentData[[#This Row],[RiskIndex]]&lt;=30,"Low",IF(StudentData[[#This Row],[RiskIndex]]&lt;=60,"Medium","High"))</f>
        <v>Low</v>
      </c>
      <c r="AP538">
        <f>StudentData[[#This Row],[G3]]+('Intervention Simulator'!$C$2*1.5)</f>
        <v>14</v>
      </c>
      <c r="AQ538" t="str">
        <f>IF(StudentData[[#This Row],[ProjectedGrade]]&gt;=10,"Pass","Fail")</f>
        <v>Pass</v>
      </c>
    </row>
    <row r="539" spans="1:43" x14ac:dyDescent="0.3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  <c r="AH539" t="str">
        <f>IF(StudentData[[#This Row],[G3]]&gt;=10,"Pass","Fail")</f>
        <v>Pass</v>
      </c>
      <c r="AI539">
        <f>IF(StudentData[[#This Row],[G3]]&lt;StudentData[[#This Row],[G2]],1,0)</f>
        <v>1</v>
      </c>
      <c r="AJ539">
        <f>IF(StudentData[[#This Row],[failures]]&gt;=2,100,IF(StudentData[[#This Row],[failures]]=1,60,0))</f>
        <v>0</v>
      </c>
      <c r="AK539">
        <f>IF(StudentData[[#This Row],[absences]]&gt;15,80,IF(StudentData[[#This Row],[absences]]&gt;10,50,0))</f>
        <v>50</v>
      </c>
      <c r="AL539">
        <f>IF(StudentData[[#This Row],[studytime]]=1,70,IF(StudentData[[#This Row],[studytime]]=2,40,0))</f>
        <v>70</v>
      </c>
      <c r="AM539">
        <f>IF(StudentData[[#This Row],[GradeDrop]]=1,50,0)</f>
        <v>50</v>
      </c>
      <c r="AN539">
        <f>0.4*StudentData[[#This Row],[FailureScore]]+0.3*StudentData[[#This Row],[AbsenceScore]]+0.2*StudentData[[#This Row],[StudyRisk]]+0.1*StudentData[[#This Row],[TrendRisk]]</f>
        <v>34</v>
      </c>
      <c r="AO539" t="str">
        <f>IF(StudentData[[#This Row],[RiskIndex]]&lt;=30,"Low",IF(StudentData[[#This Row],[RiskIndex]]&lt;=60,"Medium","High"))</f>
        <v>Medium</v>
      </c>
      <c r="AP539">
        <f>StudentData[[#This Row],[G3]]+('Intervention Simulator'!$C$2*1.5)</f>
        <v>12</v>
      </c>
      <c r="AQ539" t="str">
        <f>IF(StudentData[[#This Row],[ProjectedGrade]]&gt;=10,"Pass","Fail")</f>
        <v>Pass</v>
      </c>
    </row>
    <row r="540" spans="1:43" x14ac:dyDescent="0.3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  <c r="AH540" t="str">
        <f>IF(StudentData[[#This Row],[G3]]&gt;=10,"Pass","Fail")</f>
        <v>Pass</v>
      </c>
      <c r="AI540">
        <f>IF(StudentData[[#This Row],[G3]]&lt;StudentData[[#This Row],[G2]],1,0)</f>
        <v>0</v>
      </c>
      <c r="AJ540">
        <f>IF(StudentData[[#This Row],[failures]]&gt;=2,100,IF(StudentData[[#This Row],[failures]]=1,60,0))</f>
        <v>0</v>
      </c>
      <c r="AK540">
        <f>IF(StudentData[[#This Row],[absences]]&gt;15,80,IF(StudentData[[#This Row],[absences]]&gt;10,50,0))</f>
        <v>0</v>
      </c>
      <c r="AL540">
        <f>IF(StudentData[[#This Row],[studytime]]=1,70,IF(StudentData[[#This Row],[studytime]]=2,40,0))</f>
        <v>0</v>
      </c>
      <c r="AM540">
        <f>IF(StudentData[[#This Row],[GradeDrop]]=1,50,0)</f>
        <v>0</v>
      </c>
      <c r="AN540">
        <f>0.4*StudentData[[#This Row],[FailureScore]]+0.3*StudentData[[#This Row],[AbsenceScore]]+0.2*StudentData[[#This Row],[StudyRisk]]+0.1*StudentData[[#This Row],[TrendRisk]]</f>
        <v>0</v>
      </c>
      <c r="AO540" t="str">
        <f>IF(StudentData[[#This Row],[RiskIndex]]&lt;=30,"Low",IF(StudentData[[#This Row],[RiskIndex]]&lt;=60,"Medium","High"))</f>
        <v>Low</v>
      </c>
      <c r="AP540">
        <f>StudentData[[#This Row],[G3]]+('Intervention Simulator'!$C$2*1.5)</f>
        <v>11</v>
      </c>
      <c r="AQ540" t="str">
        <f>IF(StudentData[[#This Row],[ProjectedGrade]]&gt;=10,"Pass","Fail")</f>
        <v>Pass</v>
      </c>
    </row>
    <row r="541" spans="1:43" x14ac:dyDescent="0.3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  <c r="AH541" t="str">
        <f>IF(StudentData[[#This Row],[G3]]&gt;=10,"Pass","Fail")</f>
        <v>Pass</v>
      </c>
      <c r="AI541">
        <f>IF(StudentData[[#This Row],[G3]]&lt;StudentData[[#This Row],[G2]],1,0)</f>
        <v>0</v>
      </c>
      <c r="AJ541">
        <f>IF(StudentData[[#This Row],[failures]]&gt;=2,100,IF(StudentData[[#This Row],[failures]]=1,60,0))</f>
        <v>0</v>
      </c>
      <c r="AK541">
        <f>IF(StudentData[[#This Row],[absences]]&gt;15,80,IF(StudentData[[#This Row],[absences]]&gt;10,50,0))</f>
        <v>0</v>
      </c>
      <c r="AL541">
        <f>IF(StudentData[[#This Row],[studytime]]=1,70,IF(StudentData[[#This Row],[studytime]]=2,40,0))</f>
        <v>40</v>
      </c>
      <c r="AM541">
        <f>IF(StudentData[[#This Row],[GradeDrop]]=1,50,0)</f>
        <v>0</v>
      </c>
      <c r="AN541">
        <f>0.4*StudentData[[#This Row],[FailureScore]]+0.3*StudentData[[#This Row],[AbsenceScore]]+0.2*StudentData[[#This Row],[StudyRisk]]+0.1*StudentData[[#This Row],[TrendRisk]]</f>
        <v>8</v>
      </c>
      <c r="AO541" t="str">
        <f>IF(StudentData[[#This Row],[RiskIndex]]&lt;=30,"Low",IF(StudentData[[#This Row],[RiskIndex]]&lt;=60,"Medium","High"))</f>
        <v>Low</v>
      </c>
      <c r="AP541">
        <f>StudentData[[#This Row],[G3]]+('Intervention Simulator'!$C$2*1.5)</f>
        <v>10</v>
      </c>
      <c r="AQ541" t="str">
        <f>IF(StudentData[[#This Row],[ProjectedGrade]]&gt;=10,"Pass","Fail")</f>
        <v>Pass</v>
      </c>
    </row>
    <row r="542" spans="1:43" x14ac:dyDescent="0.3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  <c r="AH542" t="str">
        <f>IF(StudentData[[#This Row],[G3]]&gt;=10,"Pass","Fail")</f>
        <v>Pass</v>
      </c>
      <c r="AI542">
        <f>IF(StudentData[[#This Row],[G3]]&lt;StudentData[[#This Row],[G2]],1,0)</f>
        <v>0</v>
      </c>
      <c r="AJ542">
        <f>IF(StudentData[[#This Row],[failures]]&gt;=2,100,IF(StudentData[[#This Row],[failures]]=1,60,0))</f>
        <v>0</v>
      </c>
      <c r="AK542">
        <f>IF(StudentData[[#This Row],[absences]]&gt;15,80,IF(StudentData[[#This Row],[absences]]&gt;10,50,0))</f>
        <v>0</v>
      </c>
      <c r="AL542">
        <f>IF(StudentData[[#This Row],[studytime]]=1,70,IF(StudentData[[#This Row],[studytime]]=2,40,0))</f>
        <v>70</v>
      </c>
      <c r="AM542">
        <f>IF(StudentData[[#This Row],[GradeDrop]]=1,50,0)</f>
        <v>0</v>
      </c>
      <c r="AN542">
        <f>0.4*StudentData[[#This Row],[FailureScore]]+0.3*StudentData[[#This Row],[AbsenceScore]]+0.2*StudentData[[#This Row],[StudyRisk]]+0.1*StudentData[[#This Row],[TrendRisk]]</f>
        <v>14</v>
      </c>
      <c r="AO542" t="str">
        <f>IF(StudentData[[#This Row],[RiskIndex]]&lt;=30,"Low",IF(StudentData[[#This Row],[RiskIndex]]&lt;=60,"Medium","High"))</f>
        <v>Low</v>
      </c>
      <c r="AP542">
        <f>StudentData[[#This Row],[G3]]+('Intervention Simulator'!$C$2*1.5)</f>
        <v>11</v>
      </c>
      <c r="AQ542" t="str">
        <f>IF(StudentData[[#This Row],[ProjectedGrade]]&gt;=10,"Pass","Fail")</f>
        <v>Pass</v>
      </c>
    </row>
    <row r="543" spans="1:43" x14ac:dyDescent="0.3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  <c r="AH543" t="str">
        <f>IF(StudentData[[#This Row],[G3]]&gt;=10,"Pass","Fail")</f>
        <v>Pass</v>
      </c>
      <c r="AI543">
        <f>IF(StudentData[[#This Row],[G3]]&lt;StudentData[[#This Row],[G2]],1,0)</f>
        <v>0</v>
      </c>
      <c r="AJ543">
        <f>IF(StudentData[[#This Row],[failures]]&gt;=2,100,IF(StudentData[[#This Row],[failures]]=1,60,0))</f>
        <v>0</v>
      </c>
      <c r="AK543">
        <f>IF(StudentData[[#This Row],[absences]]&gt;15,80,IF(StudentData[[#This Row],[absences]]&gt;10,50,0))</f>
        <v>0</v>
      </c>
      <c r="AL543">
        <f>IF(StudentData[[#This Row],[studytime]]=1,70,IF(StudentData[[#This Row],[studytime]]=2,40,0))</f>
        <v>40</v>
      </c>
      <c r="AM543">
        <f>IF(StudentData[[#This Row],[GradeDrop]]=1,50,0)</f>
        <v>0</v>
      </c>
      <c r="AN543">
        <f>0.4*StudentData[[#This Row],[FailureScore]]+0.3*StudentData[[#This Row],[AbsenceScore]]+0.2*StudentData[[#This Row],[StudyRisk]]+0.1*StudentData[[#This Row],[TrendRisk]]</f>
        <v>8</v>
      </c>
      <c r="AO543" t="str">
        <f>IF(StudentData[[#This Row],[RiskIndex]]&lt;=30,"Low",IF(StudentData[[#This Row],[RiskIndex]]&lt;=60,"Medium","High"))</f>
        <v>Low</v>
      </c>
      <c r="AP543">
        <f>StudentData[[#This Row],[G3]]+('Intervention Simulator'!$C$2*1.5)</f>
        <v>11</v>
      </c>
      <c r="AQ543" t="str">
        <f>IF(StudentData[[#This Row],[ProjectedGrade]]&gt;=10,"Pass","Fail")</f>
        <v>Pass</v>
      </c>
    </row>
    <row r="544" spans="1:43" x14ac:dyDescent="0.3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  <c r="AH544" t="str">
        <f>IF(StudentData[[#This Row],[G3]]&gt;=10,"Pass","Fail")</f>
        <v>Pass</v>
      </c>
      <c r="AI544">
        <f>IF(StudentData[[#This Row],[G3]]&lt;StudentData[[#This Row],[G2]],1,0)</f>
        <v>0</v>
      </c>
      <c r="AJ544">
        <f>IF(StudentData[[#This Row],[failures]]&gt;=2,100,IF(StudentData[[#This Row],[failures]]=1,60,0))</f>
        <v>0</v>
      </c>
      <c r="AK544">
        <f>IF(StudentData[[#This Row],[absences]]&gt;15,80,IF(StudentData[[#This Row],[absences]]&gt;10,50,0))</f>
        <v>0</v>
      </c>
      <c r="AL544">
        <f>IF(StudentData[[#This Row],[studytime]]=1,70,IF(StudentData[[#This Row],[studytime]]=2,40,0))</f>
        <v>0</v>
      </c>
      <c r="AM544">
        <f>IF(StudentData[[#This Row],[GradeDrop]]=1,50,0)</f>
        <v>0</v>
      </c>
      <c r="AN544">
        <f>0.4*StudentData[[#This Row],[FailureScore]]+0.3*StudentData[[#This Row],[AbsenceScore]]+0.2*StudentData[[#This Row],[StudyRisk]]+0.1*StudentData[[#This Row],[TrendRisk]]</f>
        <v>0</v>
      </c>
      <c r="AO544" t="str">
        <f>IF(StudentData[[#This Row],[RiskIndex]]&lt;=30,"Low",IF(StudentData[[#This Row],[RiskIndex]]&lt;=60,"Medium","High"))</f>
        <v>Low</v>
      </c>
      <c r="AP544">
        <f>StudentData[[#This Row],[G3]]+('Intervention Simulator'!$C$2*1.5)</f>
        <v>12</v>
      </c>
      <c r="AQ544" t="str">
        <f>IF(StudentData[[#This Row],[ProjectedGrade]]&gt;=10,"Pass","Fail")</f>
        <v>Pass</v>
      </c>
    </row>
    <row r="545" spans="1:43" x14ac:dyDescent="0.3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  <c r="AH545" t="str">
        <f>IF(StudentData[[#This Row],[G3]]&gt;=10,"Pass","Fail")</f>
        <v>Fail</v>
      </c>
      <c r="AI545">
        <f>IF(StudentData[[#This Row],[G3]]&lt;StudentData[[#This Row],[G2]],1,0)</f>
        <v>1</v>
      </c>
      <c r="AJ545">
        <f>IF(StudentData[[#This Row],[failures]]&gt;=2,100,IF(StudentData[[#This Row],[failures]]=1,60,0))</f>
        <v>100</v>
      </c>
      <c r="AK545">
        <f>IF(StudentData[[#This Row],[absences]]&gt;15,80,IF(StudentData[[#This Row],[absences]]&gt;10,50,0))</f>
        <v>0</v>
      </c>
      <c r="AL545">
        <f>IF(StudentData[[#This Row],[studytime]]=1,70,IF(StudentData[[#This Row],[studytime]]=2,40,0))</f>
        <v>70</v>
      </c>
      <c r="AM545">
        <f>IF(StudentData[[#This Row],[GradeDrop]]=1,50,0)</f>
        <v>50</v>
      </c>
      <c r="AN545">
        <f>0.4*StudentData[[#This Row],[FailureScore]]+0.3*StudentData[[#This Row],[AbsenceScore]]+0.2*StudentData[[#This Row],[StudyRisk]]+0.1*StudentData[[#This Row],[TrendRisk]]</f>
        <v>59</v>
      </c>
      <c r="AO545" t="str">
        <f>IF(StudentData[[#This Row],[RiskIndex]]&lt;=30,"Low",IF(StudentData[[#This Row],[RiskIndex]]&lt;=60,"Medium","High"))</f>
        <v>Medium</v>
      </c>
      <c r="AP545">
        <f>StudentData[[#This Row],[G3]]+('Intervention Simulator'!$C$2*1.5)</f>
        <v>8</v>
      </c>
      <c r="AQ545" t="str">
        <f>IF(StudentData[[#This Row],[ProjectedGrade]]&gt;=10,"Pass","Fail")</f>
        <v>Fail</v>
      </c>
    </row>
    <row r="546" spans="1:43" x14ac:dyDescent="0.3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  <c r="AH546" t="str">
        <f>IF(StudentData[[#This Row],[G3]]&gt;=10,"Pass","Fail")</f>
        <v>Pass</v>
      </c>
      <c r="AI546">
        <f>IF(StudentData[[#This Row],[G3]]&lt;StudentData[[#This Row],[G2]],1,0)</f>
        <v>0</v>
      </c>
      <c r="AJ546">
        <f>IF(StudentData[[#This Row],[failures]]&gt;=2,100,IF(StudentData[[#This Row],[failures]]=1,60,0))</f>
        <v>0</v>
      </c>
      <c r="AK546">
        <f>IF(StudentData[[#This Row],[absences]]&gt;15,80,IF(StudentData[[#This Row],[absences]]&gt;10,50,0))</f>
        <v>0</v>
      </c>
      <c r="AL546">
        <f>IF(StudentData[[#This Row],[studytime]]=1,70,IF(StudentData[[#This Row],[studytime]]=2,40,0))</f>
        <v>70</v>
      </c>
      <c r="AM546">
        <f>IF(StudentData[[#This Row],[GradeDrop]]=1,50,0)</f>
        <v>0</v>
      </c>
      <c r="AN546">
        <f>0.4*StudentData[[#This Row],[FailureScore]]+0.3*StudentData[[#This Row],[AbsenceScore]]+0.2*StudentData[[#This Row],[StudyRisk]]+0.1*StudentData[[#This Row],[TrendRisk]]</f>
        <v>14</v>
      </c>
      <c r="AO546" t="str">
        <f>IF(StudentData[[#This Row],[RiskIndex]]&lt;=30,"Low",IF(StudentData[[#This Row],[RiskIndex]]&lt;=60,"Medium","High"))</f>
        <v>Low</v>
      </c>
      <c r="AP546">
        <f>StudentData[[#This Row],[G3]]+('Intervention Simulator'!$C$2*1.5)</f>
        <v>12</v>
      </c>
      <c r="AQ546" t="str">
        <f>IF(StudentData[[#This Row],[ProjectedGrade]]&gt;=10,"Pass","Fail")</f>
        <v>Pass</v>
      </c>
    </row>
    <row r="547" spans="1:43" x14ac:dyDescent="0.3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  <c r="AH547" t="str">
        <f>IF(StudentData[[#This Row],[G3]]&gt;=10,"Pass","Fail")</f>
        <v>Fail</v>
      </c>
      <c r="AI547">
        <f>IF(StudentData[[#This Row],[G3]]&lt;StudentData[[#This Row],[G2]],1,0)</f>
        <v>1</v>
      </c>
      <c r="AJ547">
        <f>IF(StudentData[[#This Row],[failures]]&gt;=2,100,IF(StudentData[[#This Row],[failures]]=1,60,0))</f>
        <v>60</v>
      </c>
      <c r="AK547">
        <f>IF(StudentData[[#This Row],[absences]]&gt;15,80,IF(StudentData[[#This Row],[absences]]&gt;10,50,0))</f>
        <v>0</v>
      </c>
      <c r="AL547">
        <f>IF(StudentData[[#This Row],[studytime]]=1,70,IF(StudentData[[#This Row],[studytime]]=2,40,0))</f>
        <v>40</v>
      </c>
      <c r="AM547">
        <f>IF(StudentData[[#This Row],[GradeDrop]]=1,50,0)</f>
        <v>50</v>
      </c>
      <c r="AN547">
        <f>0.4*StudentData[[#This Row],[FailureScore]]+0.3*StudentData[[#This Row],[AbsenceScore]]+0.2*StudentData[[#This Row],[StudyRisk]]+0.1*StudentData[[#This Row],[TrendRisk]]</f>
        <v>37</v>
      </c>
      <c r="AO547" t="str">
        <f>IF(StudentData[[#This Row],[RiskIndex]]&lt;=30,"Low",IF(StudentData[[#This Row],[RiskIndex]]&lt;=60,"Medium","High"))</f>
        <v>Medium</v>
      </c>
      <c r="AP547">
        <f>StudentData[[#This Row],[G3]]+('Intervention Simulator'!$C$2*1.5)</f>
        <v>8</v>
      </c>
      <c r="AQ547" t="str">
        <f>IF(StudentData[[#This Row],[ProjectedGrade]]&gt;=10,"Pass","Fail")</f>
        <v>Fail</v>
      </c>
    </row>
    <row r="548" spans="1:43" x14ac:dyDescent="0.3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  <c r="AH548" t="str">
        <f>IF(StudentData[[#This Row],[G3]]&gt;=10,"Pass","Fail")</f>
        <v>Pass</v>
      </c>
      <c r="AI548">
        <f>IF(StudentData[[#This Row],[G3]]&lt;StudentData[[#This Row],[G2]],1,0)</f>
        <v>0</v>
      </c>
      <c r="AJ548">
        <f>IF(StudentData[[#This Row],[failures]]&gt;=2,100,IF(StudentData[[#This Row],[failures]]=1,60,0))</f>
        <v>0</v>
      </c>
      <c r="AK548">
        <f>IF(StudentData[[#This Row],[absences]]&gt;15,80,IF(StudentData[[#This Row],[absences]]&gt;10,50,0))</f>
        <v>0</v>
      </c>
      <c r="AL548">
        <f>IF(StudentData[[#This Row],[studytime]]=1,70,IF(StudentData[[#This Row],[studytime]]=2,40,0))</f>
        <v>40</v>
      </c>
      <c r="AM548">
        <f>IF(StudentData[[#This Row],[GradeDrop]]=1,50,0)</f>
        <v>0</v>
      </c>
      <c r="AN548">
        <f>0.4*StudentData[[#This Row],[FailureScore]]+0.3*StudentData[[#This Row],[AbsenceScore]]+0.2*StudentData[[#This Row],[StudyRisk]]+0.1*StudentData[[#This Row],[TrendRisk]]</f>
        <v>8</v>
      </c>
      <c r="AO548" t="str">
        <f>IF(StudentData[[#This Row],[RiskIndex]]&lt;=30,"Low",IF(StudentData[[#This Row],[RiskIndex]]&lt;=60,"Medium","High"))</f>
        <v>Low</v>
      </c>
      <c r="AP548">
        <f>StudentData[[#This Row],[G3]]+('Intervention Simulator'!$C$2*1.5)</f>
        <v>16</v>
      </c>
      <c r="AQ548" t="str">
        <f>IF(StudentData[[#This Row],[ProjectedGrade]]&gt;=10,"Pass","Fail")</f>
        <v>Pass</v>
      </c>
    </row>
    <row r="549" spans="1:43" x14ac:dyDescent="0.3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  <c r="AH549" t="str">
        <f>IF(StudentData[[#This Row],[G3]]&gt;=10,"Pass","Fail")</f>
        <v>Pass</v>
      </c>
      <c r="AI549">
        <f>IF(StudentData[[#This Row],[G3]]&lt;StudentData[[#This Row],[G2]],1,0)</f>
        <v>0</v>
      </c>
      <c r="AJ549">
        <f>IF(StudentData[[#This Row],[failures]]&gt;=2,100,IF(StudentData[[#This Row],[failures]]=1,60,0))</f>
        <v>0</v>
      </c>
      <c r="AK549">
        <f>IF(StudentData[[#This Row],[absences]]&gt;15,80,IF(StudentData[[#This Row],[absences]]&gt;10,50,0))</f>
        <v>0</v>
      </c>
      <c r="AL549">
        <f>IF(StudentData[[#This Row],[studytime]]=1,70,IF(StudentData[[#This Row],[studytime]]=2,40,0))</f>
        <v>70</v>
      </c>
      <c r="AM549">
        <f>IF(StudentData[[#This Row],[GradeDrop]]=1,50,0)</f>
        <v>0</v>
      </c>
      <c r="AN549">
        <f>0.4*StudentData[[#This Row],[FailureScore]]+0.3*StudentData[[#This Row],[AbsenceScore]]+0.2*StudentData[[#This Row],[StudyRisk]]+0.1*StudentData[[#This Row],[TrendRisk]]</f>
        <v>14</v>
      </c>
      <c r="AO549" t="str">
        <f>IF(StudentData[[#This Row],[RiskIndex]]&lt;=30,"Low",IF(StudentData[[#This Row],[RiskIndex]]&lt;=60,"Medium","High"))</f>
        <v>Low</v>
      </c>
      <c r="AP549">
        <f>StudentData[[#This Row],[G3]]+('Intervention Simulator'!$C$2*1.5)</f>
        <v>11</v>
      </c>
      <c r="AQ549" t="str">
        <f>IF(StudentData[[#This Row],[ProjectedGrade]]&gt;=10,"Pass","Fail")</f>
        <v>Pass</v>
      </c>
    </row>
    <row r="550" spans="1:43" x14ac:dyDescent="0.3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  <c r="AH550" t="str">
        <f>IF(StudentData[[#This Row],[G3]]&gt;=10,"Pass","Fail")</f>
        <v>Pass</v>
      </c>
      <c r="AI550">
        <f>IF(StudentData[[#This Row],[G3]]&lt;StudentData[[#This Row],[G2]],1,0)</f>
        <v>0</v>
      </c>
      <c r="AJ550">
        <f>IF(StudentData[[#This Row],[failures]]&gt;=2,100,IF(StudentData[[#This Row],[failures]]=1,60,0))</f>
        <v>0</v>
      </c>
      <c r="AK550">
        <f>IF(StudentData[[#This Row],[absences]]&gt;15,80,IF(StudentData[[#This Row],[absences]]&gt;10,50,0))</f>
        <v>0</v>
      </c>
      <c r="AL550">
        <f>IF(StudentData[[#This Row],[studytime]]=1,70,IF(StudentData[[#This Row],[studytime]]=2,40,0))</f>
        <v>40</v>
      </c>
      <c r="AM550">
        <f>IF(StudentData[[#This Row],[GradeDrop]]=1,50,0)</f>
        <v>0</v>
      </c>
      <c r="AN550">
        <f>0.4*StudentData[[#This Row],[FailureScore]]+0.3*StudentData[[#This Row],[AbsenceScore]]+0.2*StudentData[[#This Row],[StudyRisk]]+0.1*StudentData[[#This Row],[TrendRisk]]</f>
        <v>8</v>
      </c>
      <c r="AO550" t="str">
        <f>IF(StudentData[[#This Row],[RiskIndex]]&lt;=30,"Low",IF(StudentData[[#This Row],[RiskIndex]]&lt;=60,"Medium","High"))</f>
        <v>Low</v>
      </c>
      <c r="AP550">
        <f>StudentData[[#This Row],[G3]]+('Intervention Simulator'!$C$2*1.5)</f>
        <v>11</v>
      </c>
      <c r="AQ550" t="str">
        <f>IF(StudentData[[#This Row],[ProjectedGrade]]&gt;=10,"Pass","Fail")</f>
        <v>Pass</v>
      </c>
    </row>
    <row r="551" spans="1:43" x14ac:dyDescent="0.3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  <c r="AH551" t="str">
        <f>IF(StudentData[[#This Row],[G3]]&gt;=10,"Pass","Fail")</f>
        <v>Pass</v>
      </c>
      <c r="AI551">
        <f>IF(StudentData[[#This Row],[G3]]&lt;StudentData[[#This Row],[G2]],1,0)</f>
        <v>0</v>
      </c>
      <c r="AJ551">
        <f>IF(StudentData[[#This Row],[failures]]&gt;=2,100,IF(StudentData[[#This Row],[failures]]=1,60,0))</f>
        <v>0</v>
      </c>
      <c r="AK551">
        <f>IF(StudentData[[#This Row],[absences]]&gt;15,80,IF(StudentData[[#This Row],[absences]]&gt;10,50,0))</f>
        <v>0</v>
      </c>
      <c r="AL551">
        <f>IF(StudentData[[#This Row],[studytime]]=1,70,IF(StudentData[[#This Row],[studytime]]=2,40,0))</f>
        <v>40</v>
      </c>
      <c r="AM551">
        <f>IF(StudentData[[#This Row],[GradeDrop]]=1,50,0)</f>
        <v>0</v>
      </c>
      <c r="AN551">
        <f>0.4*StudentData[[#This Row],[FailureScore]]+0.3*StudentData[[#This Row],[AbsenceScore]]+0.2*StudentData[[#This Row],[StudyRisk]]+0.1*StudentData[[#This Row],[TrendRisk]]</f>
        <v>8</v>
      </c>
      <c r="AO551" t="str">
        <f>IF(StudentData[[#This Row],[RiskIndex]]&lt;=30,"Low",IF(StudentData[[#This Row],[RiskIndex]]&lt;=60,"Medium","High"))</f>
        <v>Low</v>
      </c>
      <c r="AP551">
        <f>StudentData[[#This Row],[G3]]+('Intervention Simulator'!$C$2*1.5)</f>
        <v>18</v>
      </c>
      <c r="AQ551" t="str">
        <f>IF(StudentData[[#This Row],[ProjectedGrade]]&gt;=10,"Pass","Fail")</f>
        <v>Pass</v>
      </c>
    </row>
    <row r="552" spans="1:43" x14ac:dyDescent="0.3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  <c r="AH552" t="str">
        <f>IF(StudentData[[#This Row],[G3]]&gt;=10,"Pass","Fail")</f>
        <v>Pass</v>
      </c>
      <c r="AI552">
        <f>IF(StudentData[[#This Row],[G3]]&lt;StudentData[[#This Row],[G2]],1,0)</f>
        <v>0</v>
      </c>
      <c r="AJ552">
        <f>IF(StudentData[[#This Row],[failures]]&gt;=2,100,IF(StudentData[[#This Row],[failures]]=1,60,0))</f>
        <v>0</v>
      </c>
      <c r="AK552">
        <f>IF(StudentData[[#This Row],[absences]]&gt;15,80,IF(StudentData[[#This Row],[absences]]&gt;10,50,0))</f>
        <v>0</v>
      </c>
      <c r="AL552">
        <f>IF(StudentData[[#This Row],[studytime]]=1,70,IF(StudentData[[#This Row],[studytime]]=2,40,0))</f>
        <v>40</v>
      </c>
      <c r="AM552">
        <f>IF(StudentData[[#This Row],[GradeDrop]]=1,50,0)</f>
        <v>0</v>
      </c>
      <c r="AN552">
        <f>0.4*StudentData[[#This Row],[FailureScore]]+0.3*StudentData[[#This Row],[AbsenceScore]]+0.2*StudentData[[#This Row],[StudyRisk]]+0.1*StudentData[[#This Row],[TrendRisk]]</f>
        <v>8</v>
      </c>
      <c r="AO552" t="str">
        <f>IF(StudentData[[#This Row],[RiskIndex]]&lt;=30,"Low",IF(StudentData[[#This Row],[RiskIndex]]&lt;=60,"Medium","High"))</f>
        <v>Low</v>
      </c>
      <c r="AP552">
        <f>StudentData[[#This Row],[G3]]+('Intervention Simulator'!$C$2*1.5)</f>
        <v>13</v>
      </c>
      <c r="AQ552" t="str">
        <f>IF(StudentData[[#This Row],[ProjectedGrade]]&gt;=10,"Pass","Fail")</f>
        <v>Pass</v>
      </c>
    </row>
    <row r="553" spans="1:43" x14ac:dyDescent="0.3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  <c r="AH553" t="str">
        <f>IF(StudentData[[#This Row],[G3]]&gt;=10,"Pass","Fail")</f>
        <v>Pass</v>
      </c>
      <c r="AI553">
        <f>IF(StudentData[[#This Row],[G3]]&lt;StudentData[[#This Row],[G2]],1,0)</f>
        <v>1</v>
      </c>
      <c r="AJ553">
        <f>IF(StudentData[[#This Row],[failures]]&gt;=2,100,IF(StudentData[[#This Row],[failures]]=1,60,0))</f>
        <v>0</v>
      </c>
      <c r="AK553">
        <f>IF(StudentData[[#This Row],[absences]]&gt;15,80,IF(StudentData[[#This Row],[absences]]&gt;10,50,0))</f>
        <v>0</v>
      </c>
      <c r="AL553">
        <f>IF(StudentData[[#This Row],[studytime]]=1,70,IF(StudentData[[#This Row],[studytime]]=2,40,0))</f>
        <v>40</v>
      </c>
      <c r="AM553">
        <f>IF(StudentData[[#This Row],[GradeDrop]]=1,50,0)</f>
        <v>50</v>
      </c>
      <c r="AN553">
        <f>0.4*StudentData[[#This Row],[FailureScore]]+0.3*StudentData[[#This Row],[AbsenceScore]]+0.2*StudentData[[#This Row],[StudyRisk]]+0.1*StudentData[[#This Row],[TrendRisk]]</f>
        <v>13</v>
      </c>
      <c r="AO553" t="str">
        <f>IF(StudentData[[#This Row],[RiskIndex]]&lt;=30,"Low",IF(StudentData[[#This Row],[RiskIndex]]&lt;=60,"Medium","High"))</f>
        <v>Low</v>
      </c>
      <c r="AP553">
        <f>StudentData[[#This Row],[G3]]+('Intervention Simulator'!$C$2*1.5)</f>
        <v>13</v>
      </c>
      <c r="AQ553" t="str">
        <f>IF(StudentData[[#This Row],[ProjectedGrade]]&gt;=10,"Pass","Fail")</f>
        <v>Pass</v>
      </c>
    </row>
    <row r="554" spans="1:43" x14ac:dyDescent="0.3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  <c r="AH554" t="str">
        <f>IF(StudentData[[#This Row],[G3]]&gt;=10,"Pass","Fail")</f>
        <v>Pass</v>
      </c>
      <c r="AI554">
        <f>IF(StudentData[[#This Row],[G3]]&lt;StudentData[[#This Row],[G2]],1,0)</f>
        <v>0</v>
      </c>
      <c r="AJ554">
        <f>IF(StudentData[[#This Row],[failures]]&gt;=2,100,IF(StudentData[[#This Row],[failures]]=1,60,0))</f>
        <v>100</v>
      </c>
      <c r="AK554">
        <f>IF(StudentData[[#This Row],[absences]]&gt;15,80,IF(StudentData[[#This Row],[absences]]&gt;10,50,0))</f>
        <v>0</v>
      </c>
      <c r="AL554">
        <f>IF(StudentData[[#This Row],[studytime]]=1,70,IF(StudentData[[#This Row],[studytime]]=2,40,0))</f>
        <v>40</v>
      </c>
      <c r="AM554">
        <f>IF(StudentData[[#This Row],[GradeDrop]]=1,50,0)</f>
        <v>0</v>
      </c>
      <c r="AN554">
        <f>0.4*StudentData[[#This Row],[FailureScore]]+0.3*StudentData[[#This Row],[AbsenceScore]]+0.2*StudentData[[#This Row],[StudyRisk]]+0.1*StudentData[[#This Row],[TrendRisk]]</f>
        <v>48</v>
      </c>
      <c r="AO554" t="str">
        <f>IF(StudentData[[#This Row],[RiskIndex]]&lt;=30,"Low",IF(StudentData[[#This Row],[RiskIndex]]&lt;=60,"Medium","High"))</f>
        <v>Medium</v>
      </c>
      <c r="AP554">
        <f>StudentData[[#This Row],[G3]]+('Intervention Simulator'!$C$2*1.5)</f>
        <v>10</v>
      </c>
      <c r="AQ554" t="str">
        <f>IF(StudentData[[#This Row],[ProjectedGrade]]&gt;=10,"Pass","Fail")</f>
        <v>Pass</v>
      </c>
    </row>
    <row r="555" spans="1:43" x14ac:dyDescent="0.3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  <c r="AH555" t="str">
        <f>IF(StudentData[[#This Row],[G3]]&gt;=10,"Pass","Fail")</f>
        <v>Pass</v>
      </c>
      <c r="AI555">
        <f>IF(StudentData[[#This Row],[G3]]&lt;StudentData[[#This Row],[G2]],1,0)</f>
        <v>0</v>
      </c>
      <c r="AJ555">
        <f>IF(StudentData[[#This Row],[failures]]&gt;=2,100,IF(StudentData[[#This Row],[failures]]=1,60,0))</f>
        <v>0</v>
      </c>
      <c r="AK555">
        <f>IF(StudentData[[#This Row],[absences]]&gt;15,80,IF(StudentData[[#This Row],[absences]]&gt;10,50,0))</f>
        <v>0</v>
      </c>
      <c r="AL555">
        <f>IF(StudentData[[#This Row],[studytime]]=1,70,IF(StudentData[[#This Row],[studytime]]=2,40,0))</f>
        <v>70</v>
      </c>
      <c r="AM555">
        <f>IF(StudentData[[#This Row],[GradeDrop]]=1,50,0)</f>
        <v>0</v>
      </c>
      <c r="AN555">
        <f>0.4*StudentData[[#This Row],[FailureScore]]+0.3*StudentData[[#This Row],[AbsenceScore]]+0.2*StudentData[[#This Row],[StudyRisk]]+0.1*StudentData[[#This Row],[TrendRisk]]</f>
        <v>14</v>
      </c>
      <c r="AO555" t="str">
        <f>IF(StudentData[[#This Row],[RiskIndex]]&lt;=30,"Low",IF(StudentData[[#This Row],[RiskIndex]]&lt;=60,"Medium","High"))</f>
        <v>Low</v>
      </c>
      <c r="AP555">
        <f>StudentData[[#This Row],[G3]]+('Intervention Simulator'!$C$2*1.5)</f>
        <v>12</v>
      </c>
      <c r="AQ555" t="str">
        <f>IF(StudentData[[#This Row],[ProjectedGrade]]&gt;=10,"Pass","Fail")</f>
        <v>Pass</v>
      </c>
    </row>
    <row r="556" spans="1:43" x14ac:dyDescent="0.3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  <c r="AH556" t="str">
        <f>IF(StudentData[[#This Row],[G3]]&gt;=10,"Pass","Fail")</f>
        <v>Pass</v>
      </c>
      <c r="AI556">
        <f>IF(StudentData[[#This Row],[G3]]&lt;StudentData[[#This Row],[G2]],1,0)</f>
        <v>1</v>
      </c>
      <c r="AJ556">
        <f>IF(StudentData[[#This Row],[failures]]&gt;=2,100,IF(StudentData[[#This Row],[failures]]=1,60,0))</f>
        <v>0</v>
      </c>
      <c r="AK556">
        <f>IF(StudentData[[#This Row],[absences]]&gt;15,80,IF(StudentData[[#This Row],[absences]]&gt;10,50,0))</f>
        <v>0</v>
      </c>
      <c r="AL556">
        <f>IF(StudentData[[#This Row],[studytime]]=1,70,IF(StudentData[[#This Row],[studytime]]=2,40,0))</f>
        <v>70</v>
      </c>
      <c r="AM556">
        <f>IF(StudentData[[#This Row],[GradeDrop]]=1,50,0)</f>
        <v>50</v>
      </c>
      <c r="AN556">
        <f>0.4*StudentData[[#This Row],[FailureScore]]+0.3*StudentData[[#This Row],[AbsenceScore]]+0.2*StudentData[[#This Row],[StudyRisk]]+0.1*StudentData[[#This Row],[TrendRisk]]</f>
        <v>19</v>
      </c>
      <c r="AO556" t="str">
        <f>IF(StudentData[[#This Row],[RiskIndex]]&lt;=30,"Low",IF(StudentData[[#This Row],[RiskIndex]]&lt;=60,"Medium","High"))</f>
        <v>Low</v>
      </c>
      <c r="AP556">
        <f>StudentData[[#This Row],[G3]]+('Intervention Simulator'!$C$2*1.5)</f>
        <v>10</v>
      </c>
      <c r="AQ556" t="str">
        <f>IF(StudentData[[#This Row],[ProjectedGrade]]&gt;=10,"Pass","Fail")</f>
        <v>Pass</v>
      </c>
    </row>
    <row r="557" spans="1:43" x14ac:dyDescent="0.3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  <c r="AH557" t="str">
        <f>IF(StudentData[[#This Row],[G3]]&gt;=10,"Pass","Fail")</f>
        <v>Pass</v>
      </c>
      <c r="AI557">
        <f>IF(StudentData[[#This Row],[G3]]&lt;StudentData[[#This Row],[G2]],1,0)</f>
        <v>1</v>
      </c>
      <c r="AJ557">
        <f>IF(StudentData[[#This Row],[failures]]&gt;=2,100,IF(StudentData[[#This Row],[failures]]=1,60,0))</f>
        <v>0</v>
      </c>
      <c r="AK557">
        <f>IF(StudentData[[#This Row],[absences]]&gt;15,80,IF(StudentData[[#This Row],[absences]]&gt;10,50,0))</f>
        <v>0</v>
      </c>
      <c r="AL557">
        <f>IF(StudentData[[#This Row],[studytime]]=1,70,IF(StudentData[[#This Row],[studytime]]=2,40,0))</f>
        <v>0</v>
      </c>
      <c r="AM557">
        <f>IF(StudentData[[#This Row],[GradeDrop]]=1,50,0)</f>
        <v>50</v>
      </c>
      <c r="AN557">
        <f>0.4*StudentData[[#This Row],[FailureScore]]+0.3*StudentData[[#This Row],[AbsenceScore]]+0.2*StudentData[[#This Row],[StudyRisk]]+0.1*StudentData[[#This Row],[TrendRisk]]</f>
        <v>5</v>
      </c>
      <c r="AO557" t="str">
        <f>IF(StudentData[[#This Row],[RiskIndex]]&lt;=30,"Low",IF(StudentData[[#This Row],[RiskIndex]]&lt;=60,"Medium","High"))</f>
        <v>Low</v>
      </c>
      <c r="AP557">
        <f>StudentData[[#This Row],[G3]]+('Intervention Simulator'!$C$2*1.5)</f>
        <v>13</v>
      </c>
      <c r="AQ557" t="str">
        <f>IF(StudentData[[#This Row],[ProjectedGrade]]&gt;=10,"Pass","Fail")</f>
        <v>Pass</v>
      </c>
    </row>
    <row r="558" spans="1:43" x14ac:dyDescent="0.3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  <c r="AH558" t="str">
        <f>IF(StudentData[[#This Row],[G3]]&gt;=10,"Pass","Fail")</f>
        <v>Pass</v>
      </c>
      <c r="AI558">
        <f>IF(StudentData[[#This Row],[G3]]&lt;StudentData[[#This Row],[G2]],1,0)</f>
        <v>0</v>
      </c>
      <c r="AJ558">
        <f>IF(StudentData[[#This Row],[failures]]&gt;=2,100,IF(StudentData[[#This Row],[failures]]=1,60,0))</f>
        <v>0</v>
      </c>
      <c r="AK558">
        <f>IF(StudentData[[#This Row],[absences]]&gt;15,80,IF(StudentData[[#This Row],[absences]]&gt;10,50,0))</f>
        <v>0</v>
      </c>
      <c r="AL558">
        <f>IF(StudentData[[#This Row],[studytime]]=1,70,IF(StudentData[[#This Row],[studytime]]=2,40,0))</f>
        <v>70</v>
      </c>
      <c r="AM558">
        <f>IF(StudentData[[#This Row],[GradeDrop]]=1,50,0)</f>
        <v>0</v>
      </c>
      <c r="AN558">
        <f>0.4*StudentData[[#This Row],[FailureScore]]+0.3*StudentData[[#This Row],[AbsenceScore]]+0.2*StudentData[[#This Row],[StudyRisk]]+0.1*StudentData[[#This Row],[TrendRisk]]</f>
        <v>14</v>
      </c>
      <c r="AO558" t="str">
        <f>IF(StudentData[[#This Row],[RiskIndex]]&lt;=30,"Low",IF(StudentData[[#This Row],[RiskIndex]]&lt;=60,"Medium","High"))</f>
        <v>Low</v>
      </c>
      <c r="AP558">
        <f>StudentData[[#This Row],[G3]]+('Intervention Simulator'!$C$2*1.5)</f>
        <v>11</v>
      </c>
      <c r="AQ558" t="str">
        <f>IF(StudentData[[#This Row],[ProjectedGrade]]&gt;=10,"Pass","Fail")</f>
        <v>Pass</v>
      </c>
    </row>
    <row r="559" spans="1:43" x14ac:dyDescent="0.3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  <c r="AH559" t="str">
        <f>IF(StudentData[[#This Row],[G3]]&gt;=10,"Pass","Fail")</f>
        <v>Pass</v>
      </c>
      <c r="AI559">
        <f>IF(StudentData[[#This Row],[G3]]&lt;StudentData[[#This Row],[G2]],1,0)</f>
        <v>0</v>
      </c>
      <c r="AJ559">
        <f>IF(StudentData[[#This Row],[failures]]&gt;=2,100,IF(StudentData[[#This Row],[failures]]=1,60,0))</f>
        <v>100</v>
      </c>
      <c r="AK559">
        <f>IF(StudentData[[#This Row],[absences]]&gt;15,80,IF(StudentData[[#This Row],[absences]]&gt;10,50,0))</f>
        <v>0</v>
      </c>
      <c r="AL559">
        <f>IF(StudentData[[#This Row],[studytime]]=1,70,IF(StudentData[[#This Row],[studytime]]=2,40,0))</f>
        <v>40</v>
      </c>
      <c r="AM559">
        <f>IF(StudentData[[#This Row],[GradeDrop]]=1,50,0)</f>
        <v>0</v>
      </c>
      <c r="AN559">
        <f>0.4*StudentData[[#This Row],[FailureScore]]+0.3*StudentData[[#This Row],[AbsenceScore]]+0.2*StudentData[[#This Row],[StudyRisk]]+0.1*StudentData[[#This Row],[TrendRisk]]</f>
        <v>48</v>
      </c>
      <c r="AO559" t="str">
        <f>IF(StudentData[[#This Row],[RiskIndex]]&lt;=30,"Low",IF(StudentData[[#This Row],[RiskIndex]]&lt;=60,"Medium","High"))</f>
        <v>Medium</v>
      </c>
      <c r="AP559">
        <f>StudentData[[#This Row],[G3]]+('Intervention Simulator'!$C$2*1.5)</f>
        <v>10</v>
      </c>
      <c r="AQ559" t="str">
        <f>IF(StudentData[[#This Row],[ProjectedGrade]]&gt;=10,"Pass","Fail")</f>
        <v>Pass</v>
      </c>
    </row>
    <row r="560" spans="1:43" x14ac:dyDescent="0.3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  <c r="AH560" t="str">
        <f>IF(StudentData[[#This Row],[G3]]&gt;=10,"Pass","Fail")</f>
        <v>Pass</v>
      </c>
      <c r="AI560">
        <f>IF(StudentData[[#This Row],[G3]]&lt;StudentData[[#This Row],[G2]],1,0)</f>
        <v>1</v>
      </c>
      <c r="AJ560">
        <f>IF(StudentData[[#This Row],[failures]]&gt;=2,100,IF(StudentData[[#This Row],[failures]]=1,60,0))</f>
        <v>0</v>
      </c>
      <c r="AK560">
        <f>IF(StudentData[[#This Row],[absences]]&gt;15,80,IF(StudentData[[#This Row],[absences]]&gt;10,50,0))</f>
        <v>0</v>
      </c>
      <c r="AL560">
        <f>IF(StudentData[[#This Row],[studytime]]=1,70,IF(StudentData[[#This Row],[studytime]]=2,40,0))</f>
        <v>70</v>
      </c>
      <c r="AM560">
        <f>IF(StudentData[[#This Row],[GradeDrop]]=1,50,0)</f>
        <v>50</v>
      </c>
      <c r="AN560">
        <f>0.4*StudentData[[#This Row],[FailureScore]]+0.3*StudentData[[#This Row],[AbsenceScore]]+0.2*StudentData[[#This Row],[StudyRisk]]+0.1*StudentData[[#This Row],[TrendRisk]]</f>
        <v>19</v>
      </c>
      <c r="AO560" t="str">
        <f>IF(StudentData[[#This Row],[RiskIndex]]&lt;=30,"Low",IF(StudentData[[#This Row],[RiskIndex]]&lt;=60,"Medium","High"))</f>
        <v>Low</v>
      </c>
      <c r="AP560">
        <f>StudentData[[#This Row],[G3]]+('Intervention Simulator'!$C$2*1.5)</f>
        <v>10</v>
      </c>
      <c r="AQ560" t="str">
        <f>IF(StudentData[[#This Row],[ProjectedGrade]]&gt;=10,"Pass","Fail")</f>
        <v>Pass</v>
      </c>
    </row>
    <row r="561" spans="1:43" x14ac:dyDescent="0.3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  <c r="AH561" t="str">
        <f>IF(StudentData[[#This Row],[G3]]&gt;=10,"Pass","Fail")</f>
        <v>Pass</v>
      </c>
      <c r="AI561">
        <f>IF(StudentData[[#This Row],[G3]]&lt;StudentData[[#This Row],[G2]],1,0)</f>
        <v>0</v>
      </c>
      <c r="AJ561">
        <f>IF(StudentData[[#This Row],[failures]]&gt;=2,100,IF(StudentData[[#This Row],[failures]]=1,60,0))</f>
        <v>60</v>
      </c>
      <c r="AK561">
        <f>IF(StudentData[[#This Row],[absences]]&gt;15,80,IF(StudentData[[#This Row],[absences]]&gt;10,50,0))</f>
        <v>0</v>
      </c>
      <c r="AL561">
        <f>IF(StudentData[[#This Row],[studytime]]=1,70,IF(StudentData[[#This Row],[studytime]]=2,40,0))</f>
        <v>70</v>
      </c>
      <c r="AM561">
        <f>IF(StudentData[[#This Row],[GradeDrop]]=1,50,0)</f>
        <v>0</v>
      </c>
      <c r="AN561">
        <f>0.4*StudentData[[#This Row],[FailureScore]]+0.3*StudentData[[#This Row],[AbsenceScore]]+0.2*StudentData[[#This Row],[StudyRisk]]+0.1*StudentData[[#This Row],[TrendRisk]]</f>
        <v>38</v>
      </c>
      <c r="AO561" t="str">
        <f>IF(StudentData[[#This Row],[RiskIndex]]&lt;=30,"Low",IF(StudentData[[#This Row],[RiskIndex]]&lt;=60,"Medium","High"))</f>
        <v>Medium</v>
      </c>
      <c r="AP561">
        <f>StudentData[[#This Row],[G3]]+('Intervention Simulator'!$C$2*1.5)</f>
        <v>13</v>
      </c>
      <c r="AQ561" t="str">
        <f>IF(StudentData[[#This Row],[ProjectedGrade]]&gt;=10,"Pass","Fail")</f>
        <v>Pass</v>
      </c>
    </row>
    <row r="562" spans="1:43" x14ac:dyDescent="0.3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  <c r="AH562" t="str">
        <f>IF(StudentData[[#This Row],[G3]]&gt;=10,"Pass","Fail")</f>
        <v>Pass</v>
      </c>
      <c r="AI562">
        <f>IF(StudentData[[#This Row],[G3]]&lt;StudentData[[#This Row],[G2]],1,0)</f>
        <v>0</v>
      </c>
      <c r="AJ562">
        <f>IF(StudentData[[#This Row],[failures]]&gt;=2,100,IF(StudentData[[#This Row],[failures]]=1,60,0))</f>
        <v>0</v>
      </c>
      <c r="AK562">
        <f>IF(StudentData[[#This Row],[absences]]&gt;15,80,IF(StudentData[[#This Row],[absences]]&gt;10,50,0))</f>
        <v>0</v>
      </c>
      <c r="AL562">
        <f>IF(StudentData[[#This Row],[studytime]]=1,70,IF(StudentData[[#This Row],[studytime]]=2,40,0))</f>
        <v>70</v>
      </c>
      <c r="AM562">
        <f>IF(StudentData[[#This Row],[GradeDrop]]=1,50,0)</f>
        <v>0</v>
      </c>
      <c r="AN562">
        <f>0.4*StudentData[[#This Row],[FailureScore]]+0.3*StudentData[[#This Row],[AbsenceScore]]+0.2*StudentData[[#This Row],[StudyRisk]]+0.1*StudentData[[#This Row],[TrendRisk]]</f>
        <v>14</v>
      </c>
      <c r="AO562" t="str">
        <f>IF(StudentData[[#This Row],[RiskIndex]]&lt;=30,"Low",IF(StudentData[[#This Row],[RiskIndex]]&lt;=60,"Medium","High"))</f>
        <v>Low</v>
      </c>
      <c r="AP562">
        <f>StudentData[[#This Row],[G3]]+('Intervention Simulator'!$C$2*1.5)</f>
        <v>10</v>
      </c>
      <c r="AQ562" t="str">
        <f>IF(StudentData[[#This Row],[ProjectedGrade]]&gt;=10,"Pass","Fail")</f>
        <v>Pass</v>
      </c>
    </row>
    <row r="563" spans="1:43" x14ac:dyDescent="0.3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  <c r="AH563" t="str">
        <f>IF(StudentData[[#This Row],[G3]]&gt;=10,"Pass","Fail")</f>
        <v>Pass</v>
      </c>
      <c r="AI563">
        <f>IF(StudentData[[#This Row],[G3]]&lt;StudentData[[#This Row],[G2]],1,0)</f>
        <v>0</v>
      </c>
      <c r="AJ563">
        <f>IF(StudentData[[#This Row],[failures]]&gt;=2,100,IF(StudentData[[#This Row],[failures]]=1,60,0))</f>
        <v>0</v>
      </c>
      <c r="AK563">
        <f>IF(StudentData[[#This Row],[absences]]&gt;15,80,IF(StudentData[[#This Row],[absences]]&gt;10,50,0))</f>
        <v>0</v>
      </c>
      <c r="AL563">
        <f>IF(StudentData[[#This Row],[studytime]]=1,70,IF(StudentData[[#This Row],[studytime]]=2,40,0))</f>
        <v>40</v>
      </c>
      <c r="AM563">
        <f>IF(StudentData[[#This Row],[GradeDrop]]=1,50,0)</f>
        <v>0</v>
      </c>
      <c r="AN563">
        <f>0.4*StudentData[[#This Row],[FailureScore]]+0.3*StudentData[[#This Row],[AbsenceScore]]+0.2*StudentData[[#This Row],[StudyRisk]]+0.1*StudentData[[#This Row],[TrendRisk]]</f>
        <v>8</v>
      </c>
      <c r="AO563" t="str">
        <f>IF(StudentData[[#This Row],[RiskIndex]]&lt;=30,"Low",IF(StudentData[[#This Row],[RiskIndex]]&lt;=60,"Medium","High"))</f>
        <v>Low</v>
      </c>
      <c r="AP563">
        <f>StudentData[[#This Row],[G3]]+('Intervention Simulator'!$C$2*1.5)</f>
        <v>10</v>
      </c>
      <c r="AQ563" t="str">
        <f>IF(StudentData[[#This Row],[ProjectedGrade]]&gt;=10,"Pass","Fail")</f>
        <v>Pass</v>
      </c>
    </row>
    <row r="564" spans="1:43" x14ac:dyDescent="0.3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  <c r="AH564" t="str">
        <f>IF(StudentData[[#This Row],[G3]]&gt;=10,"Pass","Fail")</f>
        <v>Pass</v>
      </c>
      <c r="AI564">
        <f>IF(StudentData[[#This Row],[G3]]&lt;StudentData[[#This Row],[G2]],1,0)</f>
        <v>1</v>
      </c>
      <c r="AJ564">
        <f>IF(StudentData[[#This Row],[failures]]&gt;=2,100,IF(StudentData[[#This Row],[failures]]=1,60,0))</f>
        <v>0</v>
      </c>
      <c r="AK564">
        <f>IF(StudentData[[#This Row],[absences]]&gt;15,80,IF(StudentData[[#This Row],[absences]]&gt;10,50,0))</f>
        <v>0</v>
      </c>
      <c r="AL564">
        <f>IF(StudentData[[#This Row],[studytime]]=1,70,IF(StudentData[[#This Row],[studytime]]=2,40,0))</f>
        <v>40</v>
      </c>
      <c r="AM564">
        <f>IF(StudentData[[#This Row],[GradeDrop]]=1,50,0)</f>
        <v>50</v>
      </c>
      <c r="AN564">
        <f>0.4*StudentData[[#This Row],[FailureScore]]+0.3*StudentData[[#This Row],[AbsenceScore]]+0.2*StudentData[[#This Row],[StudyRisk]]+0.1*StudentData[[#This Row],[TrendRisk]]</f>
        <v>13</v>
      </c>
      <c r="AO564" t="str">
        <f>IF(StudentData[[#This Row],[RiskIndex]]&lt;=30,"Low",IF(StudentData[[#This Row],[RiskIndex]]&lt;=60,"Medium","High"))</f>
        <v>Low</v>
      </c>
      <c r="AP564">
        <f>StudentData[[#This Row],[G3]]+('Intervention Simulator'!$C$2*1.5)</f>
        <v>12</v>
      </c>
      <c r="AQ564" t="str">
        <f>IF(StudentData[[#This Row],[ProjectedGrade]]&gt;=10,"Pass","Fail")</f>
        <v>Pass</v>
      </c>
    </row>
    <row r="565" spans="1:43" x14ac:dyDescent="0.3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  <c r="AH565" t="str">
        <f>IF(StudentData[[#This Row],[G3]]&gt;=10,"Pass","Fail")</f>
        <v>Fail</v>
      </c>
      <c r="AI565">
        <f>IF(StudentData[[#This Row],[G3]]&lt;StudentData[[#This Row],[G2]],1,0)</f>
        <v>0</v>
      </c>
      <c r="AJ565">
        <f>IF(StudentData[[#This Row],[failures]]&gt;=2,100,IF(StudentData[[#This Row],[failures]]=1,60,0))</f>
        <v>60</v>
      </c>
      <c r="AK565">
        <f>IF(StudentData[[#This Row],[absences]]&gt;15,80,IF(StudentData[[#This Row],[absences]]&gt;10,50,0))</f>
        <v>0</v>
      </c>
      <c r="AL565">
        <f>IF(StudentData[[#This Row],[studytime]]=1,70,IF(StudentData[[#This Row],[studytime]]=2,40,0))</f>
        <v>70</v>
      </c>
      <c r="AM565">
        <f>IF(StudentData[[#This Row],[GradeDrop]]=1,50,0)</f>
        <v>0</v>
      </c>
      <c r="AN565">
        <f>0.4*StudentData[[#This Row],[FailureScore]]+0.3*StudentData[[#This Row],[AbsenceScore]]+0.2*StudentData[[#This Row],[StudyRisk]]+0.1*StudentData[[#This Row],[TrendRisk]]</f>
        <v>38</v>
      </c>
      <c r="AO565" t="str">
        <f>IF(StudentData[[#This Row],[RiskIndex]]&lt;=30,"Low",IF(StudentData[[#This Row],[RiskIndex]]&lt;=60,"Medium","High"))</f>
        <v>Medium</v>
      </c>
      <c r="AP565">
        <f>StudentData[[#This Row],[G3]]+('Intervention Simulator'!$C$2*1.5)</f>
        <v>0</v>
      </c>
      <c r="AQ565" t="str">
        <f>IF(StudentData[[#This Row],[ProjectedGrade]]&gt;=10,"Pass","Fail")</f>
        <v>Fail</v>
      </c>
    </row>
    <row r="566" spans="1:43" x14ac:dyDescent="0.3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  <c r="AH566" t="str">
        <f>IF(StudentData[[#This Row],[G3]]&gt;=10,"Pass","Fail")</f>
        <v>Pass</v>
      </c>
      <c r="AI566">
        <f>IF(StudentData[[#This Row],[G3]]&lt;StudentData[[#This Row],[G2]],1,0)</f>
        <v>0</v>
      </c>
      <c r="AJ566">
        <f>IF(StudentData[[#This Row],[failures]]&gt;=2,100,IF(StudentData[[#This Row],[failures]]=1,60,0))</f>
        <v>0</v>
      </c>
      <c r="AK566">
        <f>IF(StudentData[[#This Row],[absences]]&gt;15,80,IF(StudentData[[#This Row],[absences]]&gt;10,50,0))</f>
        <v>0</v>
      </c>
      <c r="AL566">
        <f>IF(StudentData[[#This Row],[studytime]]=1,70,IF(StudentData[[#This Row],[studytime]]=2,40,0))</f>
        <v>70</v>
      </c>
      <c r="AM566">
        <f>IF(StudentData[[#This Row],[GradeDrop]]=1,50,0)</f>
        <v>0</v>
      </c>
      <c r="AN566">
        <f>0.4*StudentData[[#This Row],[FailureScore]]+0.3*StudentData[[#This Row],[AbsenceScore]]+0.2*StudentData[[#This Row],[StudyRisk]]+0.1*StudentData[[#This Row],[TrendRisk]]</f>
        <v>14</v>
      </c>
      <c r="AO566" t="str">
        <f>IF(StudentData[[#This Row],[RiskIndex]]&lt;=30,"Low",IF(StudentData[[#This Row],[RiskIndex]]&lt;=60,"Medium","High"))</f>
        <v>Low</v>
      </c>
      <c r="AP566">
        <f>StudentData[[#This Row],[G3]]+('Intervention Simulator'!$C$2*1.5)</f>
        <v>10</v>
      </c>
      <c r="AQ566" t="str">
        <f>IF(StudentData[[#This Row],[ProjectedGrade]]&gt;=10,"Pass","Fail")</f>
        <v>Pass</v>
      </c>
    </row>
    <row r="567" spans="1:43" x14ac:dyDescent="0.3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  <c r="AH567" t="str">
        <f>IF(StudentData[[#This Row],[G3]]&gt;=10,"Pass","Fail")</f>
        <v>Fail</v>
      </c>
      <c r="AI567">
        <f>IF(StudentData[[#This Row],[G3]]&lt;StudentData[[#This Row],[G2]],1,0)</f>
        <v>1</v>
      </c>
      <c r="AJ567">
        <f>IF(StudentData[[#This Row],[failures]]&gt;=2,100,IF(StudentData[[#This Row],[failures]]=1,60,0))</f>
        <v>0</v>
      </c>
      <c r="AK567">
        <f>IF(StudentData[[#This Row],[absences]]&gt;15,80,IF(StudentData[[#This Row],[absences]]&gt;10,50,0))</f>
        <v>0</v>
      </c>
      <c r="AL567">
        <f>IF(StudentData[[#This Row],[studytime]]=1,70,IF(StudentData[[#This Row],[studytime]]=2,40,0))</f>
        <v>70</v>
      </c>
      <c r="AM567">
        <f>IF(StudentData[[#This Row],[GradeDrop]]=1,50,0)</f>
        <v>50</v>
      </c>
      <c r="AN567">
        <f>0.4*StudentData[[#This Row],[FailureScore]]+0.3*StudentData[[#This Row],[AbsenceScore]]+0.2*StudentData[[#This Row],[StudyRisk]]+0.1*StudentData[[#This Row],[TrendRisk]]</f>
        <v>19</v>
      </c>
      <c r="AO567" t="str">
        <f>IF(StudentData[[#This Row],[RiskIndex]]&lt;=30,"Low",IF(StudentData[[#This Row],[RiskIndex]]&lt;=60,"Medium","High"))</f>
        <v>Low</v>
      </c>
      <c r="AP567">
        <f>StudentData[[#This Row],[G3]]+('Intervention Simulator'!$C$2*1.5)</f>
        <v>9</v>
      </c>
      <c r="AQ567" t="str">
        <f>IF(StudentData[[#This Row],[ProjectedGrade]]&gt;=10,"Pass","Fail")</f>
        <v>Fail</v>
      </c>
    </row>
    <row r="568" spans="1:43" x14ac:dyDescent="0.3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  <c r="AH568" t="str">
        <f>IF(StudentData[[#This Row],[G3]]&gt;=10,"Pass","Fail")</f>
        <v>Fail</v>
      </c>
      <c r="AI568">
        <f>IF(StudentData[[#This Row],[G3]]&lt;StudentData[[#This Row],[G2]],1,0)</f>
        <v>0</v>
      </c>
      <c r="AJ568">
        <f>IF(StudentData[[#This Row],[failures]]&gt;=2,100,IF(StudentData[[#This Row],[failures]]=1,60,0))</f>
        <v>60</v>
      </c>
      <c r="AK568">
        <f>IF(StudentData[[#This Row],[absences]]&gt;15,80,IF(StudentData[[#This Row],[absences]]&gt;10,50,0))</f>
        <v>0</v>
      </c>
      <c r="AL568">
        <f>IF(StudentData[[#This Row],[studytime]]=1,70,IF(StudentData[[#This Row],[studytime]]=2,40,0))</f>
        <v>70</v>
      </c>
      <c r="AM568">
        <f>IF(StudentData[[#This Row],[GradeDrop]]=1,50,0)</f>
        <v>0</v>
      </c>
      <c r="AN568">
        <f>0.4*StudentData[[#This Row],[FailureScore]]+0.3*StudentData[[#This Row],[AbsenceScore]]+0.2*StudentData[[#This Row],[StudyRisk]]+0.1*StudentData[[#This Row],[TrendRisk]]</f>
        <v>38</v>
      </c>
      <c r="AO568" t="str">
        <f>IF(StudentData[[#This Row],[RiskIndex]]&lt;=30,"Low",IF(StudentData[[#This Row],[RiskIndex]]&lt;=60,"Medium","High"))</f>
        <v>Medium</v>
      </c>
      <c r="AP568">
        <f>StudentData[[#This Row],[G3]]+('Intervention Simulator'!$C$2*1.5)</f>
        <v>9</v>
      </c>
      <c r="AQ568" t="str">
        <f>IF(StudentData[[#This Row],[ProjectedGrade]]&gt;=10,"Pass","Fail")</f>
        <v>Fail</v>
      </c>
    </row>
    <row r="569" spans="1:43" x14ac:dyDescent="0.3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  <c r="AH569" t="str">
        <f>IF(StudentData[[#This Row],[G3]]&gt;=10,"Pass","Fail")</f>
        <v>Fail</v>
      </c>
      <c r="AI569">
        <f>IF(StudentData[[#This Row],[G3]]&lt;StudentData[[#This Row],[G2]],1,0)</f>
        <v>0</v>
      </c>
      <c r="AJ569">
        <f>IF(StudentData[[#This Row],[failures]]&gt;=2,100,IF(StudentData[[#This Row],[failures]]=1,60,0))</f>
        <v>60</v>
      </c>
      <c r="AK569">
        <f>IF(StudentData[[#This Row],[absences]]&gt;15,80,IF(StudentData[[#This Row],[absences]]&gt;10,50,0))</f>
        <v>0</v>
      </c>
      <c r="AL569">
        <f>IF(StudentData[[#This Row],[studytime]]=1,70,IF(StudentData[[#This Row],[studytime]]=2,40,0))</f>
        <v>70</v>
      </c>
      <c r="AM569">
        <f>IF(StudentData[[#This Row],[GradeDrop]]=1,50,0)</f>
        <v>0</v>
      </c>
      <c r="AN569">
        <f>0.4*StudentData[[#This Row],[FailureScore]]+0.3*StudentData[[#This Row],[AbsenceScore]]+0.2*StudentData[[#This Row],[StudyRisk]]+0.1*StudentData[[#This Row],[TrendRisk]]</f>
        <v>38</v>
      </c>
      <c r="AO569" t="str">
        <f>IF(StudentData[[#This Row],[RiskIndex]]&lt;=30,"Low",IF(StudentData[[#This Row],[RiskIndex]]&lt;=60,"Medium","High"))</f>
        <v>Medium</v>
      </c>
      <c r="AP569">
        <f>StudentData[[#This Row],[G3]]+('Intervention Simulator'!$C$2*1.5)</f>
        <v>0</v>
      </c>
      <c r="AQ569" t="str">
        <f>IF(StudentData[[#This Row],[ProjectedGrade]]&gt;=10,"Pass","Fail")</f>
        <v>Fail</v>
      </c>
    </row>
    <row r="570" spans="1:43" x14ac:dyDescent="0.3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  <c r="AH570" t="str">
        <f>IF(StudentData[[#This Row],[G3]]&gt;=10,"Pass","Fail")</f>
        <v>Fail</v>
      </c>
      <c r="AI570">
        <f>IF(StudentData[[#This Row],[G3]]&lt;StudentData[[#This Row],[G2]],1,0)</f>
        <v>1</v>
      </c>
      <c r="AJ570">
        <f>IF(StudentData[[#This Row],[failures]]&gt;=2,100,IF(StudentData[[#This Row],[failures]]=1,60,0))</f>
        <v>100</v>
      </c>
      <c r="AK570">
        <f>IF(StudentData[[#This Row],[absences]]&gt;15,80,IF(StudentData[[#This Row],[absences]]&gt;10,50,0))</f>
        <v>0</v>
      </c>
      <c r="AL570">
        <f>IF(StudentData[[#This Row],[studytime]]=1,70,IF(StudentData[[#This Row],[studytime]]=2,40,0))</f>
        <v>70</v>
      </c>
      <c r="AM570">
        <f>IF(StudentData[[#This Row],[GradeDrop]]=1,50,0)</f>
        <v>50</v>
      </c>
      <c r="AN570">
        <f>0.4*StudentData[[#This Row],[FailureScore]]+0.3*StudentData[[#This Row],[AbsenceScore]]+0.2*StudentData[[#This Row],[StudyRisk]]+0.1*StudentData[[#This Row],[TrendRisk]]</f>
        <v>59</v>
      </c>
      <c r="AO570" t="str">
        <f>IF(StudentData[[#This Row],[RiskIndex]]&lt;=30,"Low",IF(StudentData[[#This Row],[RiskIndex]]&lt;=60,"Medium","High"))</f>
        <v>Medium</v>
      </c>
      <c r="AP570">
        <f>StudentData[[#This Row],[G3]]+('Intervention Simulator'!$C$2*1.5)</f>
        <v>9</v>
      </c>
      <c r="AQ570" t="str">
        <f>IF(StudentData[[#This Row],[ProjectedGrade]]&gt;=10,"Pass","Fail")</f>
        <v>Fail</v>
      </c>
    </row>
    <row r="571" spans="1:43" x14ac:dyDescent="0.3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  <c r="AH571" t="str">
        <f>IF(StudentData[[#This Row],[G3]]&gt;=10,"Pass","Fail")</f>
        <v>Fail</v>
      </c>
      <c r="AI571">
        <f>IF(StudentData[[#This Row],[G3]]&lt;StudentData[[#This Row],[G2]],1,0)</f>
        <v>0</v>
      </c>
      <c r="AJ571">
        <f>IF(StudentData[[#This Row],[failures]]&gt;=2,100,IF(StudentData[[#This Row],[failures]]=1,60,0))</f>
        <v>100</v>
      </c>
      <c r="AK571">
        <f>IF(StudentData[[#This Row],[absences]]&gt;15,80,IF(StudentData[[#This Row],[absences]]&gt;10,50,0))</f>
        <v>0</v>
      </c>
      <c r="AL571">
        <f>IF(StudentData[[#This Row],[studytime]]=1,70,IF(StudentData[[#This Row],[studytime]]=2,40,0))</f>
        <v>40</v>
      </c>
      <c r="AM571">
        <f>IF(StudentData[[#This Row],[GradeDrop]]=1,50,0)</f>
        <v>0</v>
      </c>
      <c r="AN571">
        <f>0.4*StudentData[[#This Row],[FailureScore]]+0.3*StudentData[[#This Row],[AbsenceScore]]+0.2*StudentData[[#This Row],[StudyRisk]]+0.1*StudentData[[#This Row],[TrendRisk]]</f>
        <v>48</v>
      </c>
      <c r="AO571" t="str">
        <f>IF(StudentData[[#This Row],[RiskIndex]]&lt;=30,"Low",IF(StudentData[[#This Row],[RiskIndex]]&lt;=60,"Medium","High"))</f>
        <v>Medium</v>
      </c>
      <c r="AP571">
        <f>StudentData[[#This Row],[G3]]+('Intervention Simulator'!$C$2*1.5)</f>
        <v>8</v>
      </c>
      <c r="AQ571" t="str">
        <f>IF(StudentData[[#This Row],[ProjectedGrade]]&gt;=10,"Pass","Fail")</f>
        <v>Fail</v>
      </c>
    </row>
    <row r="572" spans="1:43" x14ac:dyDescent="0.3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  <c r="AH572" t="str">
        <f>IF(StudentData[[#This Row],[G3]]&gt;=10,"Pass","Fail")</f>
        <v>Fail</v>
      </c>
      <c r="AI572">
        <f>IF(StudentData[[#This Row],[G3]]&lt;StudentData[[#This Row],[G2]],1,0)</f>
        <v>0</v>
      </c>
      <c r="AJ572">
        <f>IF(StudentData[[#This Row],[failures]]&gt;=2,100,IF(StudentData[[#This Row],[failures]]=1,60,0))</f>
        <v>0</v>
      </c>
      <c r="AK572">
        <f>IF(StudentData[[#This Row],[absences]]&gt;15,80,IF(StudentData[[#This Row],[absences]]&gt;10,50,0))</f>
        <v>0</v>
      </c>
      <c r="AL572">
        <f>IF(StudentData[[#This Row],[studytime]]=1,70,IF(StudentData[[#This Row],[studytime]]=2,40,0))</f>
        <v>70</v>
      </c>
      <c r="AM572">
        <f>IF(StudentData[[#This Row],[GradeDrop]]=1,50,0)</f>
        <v>0</v>
      </c>
      <c r="AN572">
        <f>0.4*StudentData[[#This Row],[FailureScore]]+0.3*StudentData[[#This Row],[AbsenceScore]]+0.2*StudentData[[#This Row],[StudyRisk]]+0.1*StudentData[[#This Row],[TrendRisk]]</f>
        <v>14</v>
      </c>
      <c r="AO572" t="str">
        <f>IF(StudentData[[#This Row],[RiskIndex]]&lt;=30,"Low",IF(StudentData[[#This Row],[RiskIndex]]&lt;=60,"Medium","High"))</f>
        <v>Low</v>
      </c>
      <c r="AP572">
        <f>StudentData[[#This Row],[G3]]+('Intervention Simulator'!$C$2*1.5)</f>
        <v>8</v>
      </c>
      <c r="AQ572" t="str">
        <f>IF(StudentData[[#This Row],[ProjectedGrade]]&gt;=10,"Pass","Fail")</f>
        <v>Fail</v>
      </c>
    </row>
    <row r="573" spans="1:43" x14ac:dyDescent="0.3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  <c r="AH573" t="str">
        <f>IF(StudentData[[#This Row],[G3]]&gt;=10,"Pass","Fail")</f>
        <v>Fail</v>
      </c>
      <c r="AI573">
        <f>IF(StudentData[[#This Row],[G3]]&lt;StudentData[[#This Row],[G2]],1,0)</f>
        <v>0</v>
      </c>
      <c r="AJ573">
        <f>IF(StudentData[[#This Row],[failures]]&gt;=2,100,IF(StudentData[[#This Row],[failures]]=1,60,0))</f>
        <v>100</v>
      </c>
      <c r="AK573">
        <f>IF(StudentData[[#This Row],[absences]]&gt;15,80,IF(StudentData[[#This Row],[absences]]&gt;10,50,0))</f>
        <v>0</v>
      </c>
      <c r="AL573">
        <f>IF(StudentData[[#This Row],[studytime]]=1,70,IF(StudentData[[#This Row],[studytime]]=2,40,0))</f>
        <v>70</v>
      </c>
      <c r="AM573">
        <f>IF(StudentData[[#This Row],[GradeDrop]]=1,50,0)</f>
        <v>0</v>
      </c>
      <c r="AN573">
        <f>0.4*StudentData[[#This Row],[FailureScore]]+0.3*StudentData[[#This Row],[AbsenceScore]]+0.2*StudentData[[#This Row],[StudyRisk]]+0.1*StudentData[[#This Row],[TrendRisk]]</f>
        <v>54</v>
      </c>
      <c r="AO573" t="str">
        <f>IF(StudentData[[#This Row],[RiskIndex]]&lt;=30,"Low",IF(StudentData[[#This Row],[RiskIndex]]&lt;=60,"Medium","High"))</f>
        <v>Medium</v>
      </c>
      <c r="AP573">
        <f>StudentData[[#This Row],[G3]]+('Intervention Simulator'!$C$2*1.5)</f>
        <v>9</v>
      </c>
      <c r="AQ573" t="str">
        <f>IF(StudentData[[#This Row],[ProjectedGrade]]&gt;=10,"Pass","Fail")</f>
        <v>Fail</v>
      </c>
    </row>
    <row r="574" spans="1:43" x14ac:dyDescent="0.3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  <c r="AH574" t="str">
        <f>IF(StudentData[[#This Row],[G3]]&gt;=10,"Pass","Fail")</f>
        <v>Fail</v>
      </c>
      <c r="AI574">
        <f>IF(StudentData[[#This Row],[G3]]&lt;StudentData[[#This Row],[G2]],1,0)</f>
        <v>0</v>
      </c>
      <c r="AJ574">
        <f>IF(StudentData[[#This Row],[failures]]&gt;=2,100,IF(StudentData[[#This Row],[failures]]=1,60,0))</f>
        <v>100</v>
      </c>
      <c r="AK574">
        <f>IF(StudentData[[#This Row],[absences]]&gt;15,80,IF(StudentData[[#This Row],[absences]]&gt;10,50,0))</f>
        <v>0</v>
      </c>
      <c r="AL574">
        <f>IF(StudentData[[#This Row],[studytime]]=1,70,IF(StudentData[[#This Row],[studytime]]=2,40,0))</f>
        <v>40</v>
      </c>
      <c r="AM574">
        <f>IF(StudentData[[#This Row],[GradeDrop]]=1,50,0)</f>
        <v>0</v>
      </c>
      <c r="AN574">
        <f>0.4*StudentData[[#This Row],[FailureScore]]+0.3*StudentData[[#This Row],[AbsenceScore]]+0.2*StudentData[[#This Row],[StudyRisk]]+0.1*StudentData[[#This Row],[TrendRisk]]</f>
        <v>48</v>
      </c>
      <c r="AO574" t="str">
        <f>IF(StudentData[[#This Row],[RiskIndex]]&lt;=30,"Low",IF(StudentData[[#This Row],[RiskIndex]]&lt;=60,"Medium","High"))</f>
        <v>Medium</v>
      </c>
      <c r="AP574">
        <f>StudentData[[#This Row],[G3]]+('Intervention Simulator'!$C$2*1.5)</f>
        <v>7</v>
      </c>
      <c r="AQ574" t="str">
        <f>IF(StudentData[[#This Row],[ProjectedGrade]]&gt;=10,"Pass","Fail")</f>
        <v>Fail</v>
      </c>
    </row>
    <row r="575" spans="1:43" x14ac:dyDescent="0.3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  <c r="AH575" t="str">
        <f>IF(StudentData[[#This Row],[G3]]&gt;=10,"Pass","Fail")</f>
        <v>Pass</v>
      </c>
      <c r="AI575">
        <f>IF(StudentData[[#This Row],[G3]]&lt;StudentData[[#This Row],[G2]],1,0)</f>
        <v>0</v>
      </c>
      <c r="AJ575">
        <f>IF(StudentData[[#This Row],[failures]]&gt;=2,100,IF(StudentData[[#This Row],[failures]]=1,60,0))</f>
        <v>0</v>
      </c>
      <c r="AK575">
        <f>IF(StudentData[[#This Row],[absences]]&gt;15,80,IF(StudentData[[#This Row],[absences]]&gt;10,50,0))</f>
        <v>0</v>
      </c>
      <c r="AL575">
        <f>IF(StudentData[[#This Row],[studytime]]=1,70,IF(StudentData[[#This Row],[studytime]]=2,40,0))</f>
        <v>70</v>
      </c>
      <c r="AM575">
        <f>IF(StudentData[[#This Row],[GradeDrop]]=1,50,0)</f>
        <v>0</v>
      </c>
      <c r="AN575">
        <f>0.4*StudentData[[#This Row],[FailureScore]]+0.3*StudentData[[#This Row],[AbsenceScore]]+0.2*StudentData[[#This Row],[StudyRisk]]+0.1*StudentData[[#This Row],[TrendRisk]]</f>
        <v>14</v>
      </c>
      <c r="AO575" t="str">
        <f>IF(StudentData[[#This Row],[RiskIndex]]&lt;=30,"Low",IF(StudentData[[#This Row],[RiskIndex]]&lt;=60,"Medium","High"))</f>
        <v>Low</v>
      </c>
      <c r="AP575">
        <f>StudentData[[#This Row],[G3]]+('Intervention Simulator'!$C$2*1.5)</f>
        <v>10</v>
      </c>
      <c r="AQ575" t="str">
        <f>IF(StudentData[[#This Row],[ProjectedGrade]]&gt;=10,"Pass","Fail")</f>
        <v>Pass</v>
      </c>
    </row>
    <row r="576" spans="1:43" x14ac:dyDescent="0.3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  <c r="AH576" t="str">
        <f>IF(StudentData[[#This Row],[G3]]&gt;=10,"Pass","Fail")</f>
        <v>Pass</v>
      </c>
      <c r="AI576">
        <f>IF(StudentData[[#This Row],[G3]]&lt;StudentData[[#This Row],[G2]],1,0)</f>
        <v>1</v>
      </c>
      <c r="AJ576">
        <f>IF(StudentData[[#This Row],[failures]]&gt;=2,100,IF(StudentData[[#This Row],[failures]]=1,60,0))</f>
        <v>60</v>
      </c>
      <c r="AK576">
        <f>IF(StudentData[[#This Row],[absences]]&gt;15,80,IF(StudentData[[#This Row],[absences]]&gt;10,50,0))</f>
        <v>50</v>
      </c>
      <c r="AL576">
        <f>IF(StudentData[[#This Row],[studytime]]=1,70,IF(StudentData[[#This Row],[studytime]]=2,40,0))</f>
        <v>70</v>
      </c>
      <c r="AM576">
        <f>IF(StudentData[[#This Row],[GradeDrop]]=1,50,0)</f>
        <v>50</v>
      </c>
      <c r="AN576">
        <f>0.4*StudentData[[#This Row],[FailureScore]]+0.3*StudentData[[#This Row],[AbsenceScore]]+0.2*StudentData[[#This Row],[StudyRisk]]+0.1*StudentData[[#This Row],[TrendRisk]]</f>
        <v>58</v>
      </c>
      <c r="AO576" t="str">
        <f>IF(StudentData[[#This Row],[RiskIndex]]&lt;=30,"Low",IF(StudentData[[#This Row],[RiskIndex]]&lt;=60,"Medium","High"))</f>
        <v>Medium</v>
      </c>
      <c r="AP576">
        <f>StudentData[[#This Row],[G3]]+('Intervention Simulator'!$C$2*1.5)</f>
        <v>10</v>
      </c>
      <c r="AQ576" t="str">
        <f>IF(StudentData[[#This Row],[ProjectedGrade]]&gt;=10,"Pass","Fail")</f>
        <v>Pass</v>
      </c>
    </row>
    <row r="577" spans="1:43" x14ac:dyDescent="0.3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  <c r="AH577" t="str">
        <f>IF(StudentData[[#This Row],[G3]]&gt;=10,"Pass","Fail")</f>
        <v>Pass</v>
      </c>
      <c r="AI577">
        <f>IF(StudentData[[#This Row],[G3]]&lt;StudentData[[#This Row],[G2]],1,0)</f>
        <v>1</v>
      </c>
      <c r="AJ577">
        <f>IF(StudentData[[#This Row],[failures]]&gt;=2,100,IF(StudentData[[#This Row],[failures]]=1,60,0))</f>
        <v>0</v>
      </c>
      <c r="AK577">
        <f>IF(StudentData[[#This Row],[absences]]&gt;15,80,IF(StudentData[[#This Row],[absences]]&gt;10,50,0))</f>
        <v>0</v>
      </c>
      <c r="AL577">
        <f>IF(StudentData[[#This Row],[studytime]]=1,70,IF(StudentData[[#This Row],[studytime]]=2,40,0))</f>
        <v>70</v>
      </c>
      <c r="AM577">
        <f>IF(StudentData[[#This Row],[GradeDrop]]=1,50,0)</f>
        <v>50</v>
      </c>
      <c r="AN577">
        <f>0.4*StudentData[[#This Row],[FailureScore]]+0.3*StudentData[[#This Row],[AbsenceScore]]+0.2*StudentData[[#This Row],[StudyRisk]]+0.1*StudentData[[#This Row],[TrendRisk]]</f>
        <v>19</v>
      </c>
      <c r="AO577" t="str">
        <f>IF(StudentData[[#This Row],[RiskIndex]]&lt;=30,"Low",IF(StudentData[[#This Row],[RiskIndex]]&lt;=60,"Medium","High"))</f>
        <v>Low</v>
      </c>
      <c r="AP577">
        <f>StudentData[[#This Row],[G3]]+('Intervention Simulator'!$C$2*1.5)</f>
        <v>10</v>
      </c>
      <c r="AQ577" t="str">
        <f>IF(StudentData[[#This Row],[ProjectedGrade]]&gt;=10,"Pass","Fail")</f>
        <v>Pass</v>
      </c>
    </row>
    <row r="578" spans="1:43" x14ac:dyDescent="0.3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  <c r="AH578" t="str">
        <f>IF(StudentData[[#This Row],[G3]]&gt;=10,"Pass","Fail")</f>
        <v>Pass</v>
      </c>
      <c r="AI578">
        <f>IF(StudentData[[#This Row],[G3]]&lt;StudentData[[#This Row],[G2]],1,0)</f>
        <v>0</v>
      </c>
      <c r="AJ578">
        <f>IF(StudentData[[#This Row],[failures]]&gt;=2,100,IF(StudentData[[#This Row],[failures]]=1,60,0))</f>
        <v>0</v>
      </c>
      <c r="AK578">
        <f>IF(StudentData[[#This Row],[absences]]&gt;15,80,IF(StudentData[[#This Row],[absences]]&gt;10,50,0))</f>
        <v>0</v>
      </c>
      <c r="AL578">
        <f>IF(StudentData[[#This Row],[studytime]]=1,70,IF(StudentData[[#This Row],[studytime]]=2,40,0))</f>
        <v>70</v>
      </c>
      <c r="AM578">
        <f>IF(StudentData[[#This Row],[GradeDrop]]=1,50,0)</f>
        <v>0</v>
      </c>
      <c r="AN578">
        <f>0.4*StudentData[[#This Row],[FailureScore]]+0.3*StudentData[[#This Row],[AbsenceScore]]+0.2*StudentData[[#This Row],[StudyRisk]]+0.1*StudentData[[#This Row],[TrendRisk]]</f>
        <v>14</v>
      </c>
      <c r="AO578" t="str">
        <f>IF(StudentData[[#This Row],[RiskIndex]]&lt;=30,"Low",IF(StudentData[[#This Row],[RiskIndex]]&lt;=60,"Medium","High"))</f>
        <v>Low</v>
      </c>
      <c r="AP578">
        <f>StudentData[[#This Row],[G3]]+('Intervention Simulator'!$C$2*1.5)</f>
        <v>11</v>
      </c>
      <c r="AQ578" t="str">
        <f>IF(StudentData[[#This Row],[ProjectedGrade]]&gt;=10,"Pass","Fail")</f>
        <v>Pass</v>
      </c>
    </row>
    <row r="579" spans="1:43" x14ac:dyDescent="0.3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  <c r="AH579" t="str">
        <f>IF(StudentData[[#This Row],[G3]]&gt;=10,"Pass","Fail")</f>
        <v>Pass</v>
      </c>
      <c r="AI579">
        <f>IF(StudentData[[#This Row],[G3]]&lt;StudentData[[#This Row],[G2]],1,0)</f>
        <v>0</v>
      </c>
      <c r="AJ579">
        <f>IF(StudentData[[#This Row],[failures]]&gt;=2,100,IF(StudentData[[#This Row],[failures]]=1,60,0))</f>
        <v>60</v>
      </c>
      <c r="AK579">
        <f>IF(StudentData[[#This Row],[absences]]&gt;15,80,IF(StudentData[[#This Row],[absences]]&gt;10,50,0))</f>
        <v>0</v>
      </c>
      <c r="AL579">
        <f>IF(StudentData[[#This Row],[studytime]]=1,70,IF(StudentData[[#This Row],[studytime]]=2,40,0))</f>
        <v>40</v>
      </c>
      <c r="AM579">
        <f>IF(StudentData[[#This Row],[GradeDrop]]=1,50,0)</f>
        <v>0</v>
      </c>
      <c r="AN579">
        <f>0.4*StudentData[[#This Row],[FailureScore]]+0.3*StudentData[[#This Row],[AbsenceScore]]+0.2*StudentData[[#This Row],[StudyRisk]]+0.1*StudentData[[#This Row],[TrendRisk]]</f>
        <v>32</v>
      </c>
      <c r="AO579" t="str">
        <f>IF(StudentData[[#This Row],[RiskIndex]]&lt;=30,"Low",IF(StudentData[[#This Row],[RiskIndex]]&lt;=60,"Medium","High"))</f>
        <v>Medium</v>
      </c>
      <c r="AP579">
        <f>StudentData[[#This Row],[G3]]+('Intervention Simulator'!$C$2*1.5)</f>
        <v>11</v>
      </c>
      <c r="AQ579" t="str">
        <f>IF(StudentData[[#This Row],[ProjectedGrade]]&gt;=10,"Pass","Fail")</f>
        <v>Pass</v>
      </c>
    </row>
    <row r="580" spans="1:43" x14ac:dyDescent="0.3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  <c r="AH580" t="str">
        <f>IF(StudentData[[#This Row],[G3]]&gt;=10,"Pass","Fail")</f>
        <v>Pass</v>
      </c>
      <c r="AI580">
        <f>IF(StudentData[[#This Row],[G3]]&lt;StudentData[[#This Row],[G2]],1,0)</f>
        <v>0</v>
      </c>
      <c r="AJ580">
        <f>IF(StudentData[[#This Row],[failures]]&gt;=2,100,IF(StudentData[[#This Row],[failures]]=1,60,0))</f>
        <v>60</v>
      </c>
      <c r="AK580">
        <f>IF(StudentData[[#This Row],[absences]]&gt;15,80,IF(StudentData[[#This Row],[absences]]&gt;10,50,0))</f>
        <v>0</v>
      </c>
      <c r="AL580">
        <f>IF(StudentData[[#This Row],[studytime]]=1,70,IF(StudentData[[#This Row],[studytime]]=2,40,0))</f>
        <v>40</v>
      </c>
      <c r="AM580">
        <f>IF(StudentData[[#This Row],[GradeDrop]]=1,50,0)</f>
        <v>0</v>
      </c>
      <c r="AN580">
        <f>0.4*StudentData[[#This Row],[FailureScore]]+0.3*StudentData[[#This Row],[AbsenceScore]]+0.2*StudentData[[#This Row],[StudyRisk]]+0.1*StudentData[[#This Row],[TrendRisk]]</f>
        <v>32</v>
      </c>
      <c r="AO580" t="str">
        <f>IF(StudentData[[#This Row],[RiskIndex]]&lt;=30,"Low",IF(StudentData[[#This Row],[RiskIndex]]&lt;=60,"Medium","High"))</f>
        <v>Medium</v>
      </c>
      <c r="AP580">
        <f>StudentData[[#This Row],[G3]]+('Intervention Simulator'!$C$2*1.5)</f>
        <v>10</v>
      </c>
      <c r="AQ580" t="str">
        <f>IF(StudentData[[#This Row],[ProjectedGrade]]&gt;=10,"Pass","Fail")</f>
        <v>Pass</v>
      </c>
    </row>
    <row r="581" spans="1:43" x14ac:dyDescent="0.3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  <c r="AH581" t="str">
        <f>IF(StudentData[[#This Row],[G3]]&gt;=10,"Pass","Fail")</f>
        <v>Fail</v>
      </c>
      <c r="AI581">
        <f>IF(StudentData[[#This Row],[G3]]&lt;StudentData[[#This Row],[G2]],1,0)</f>
        <v>1</v>
      </c>
      <c r="AJ581">
        <f>IF(StudentData[[#This Row],[failures]]&gt;=2,100,IF(StudentData[[#This Row],[failures]]=1,60,0))</f>
        <v>0</v>
      </c>
      <c r="AK581">
        <f>IF(StudentData[[#This Row],[absences]]&gt;15,80,IF(StudentData[[#This Row],[absences]]&gt;10,50,0))</f>
        <v>0</v>
      </c>
      <c r="AL581">
        <f>IF(StudentData[[#This Row],[studytime]]=1,70,IF(StudentData[[#This Row],[studytime]]=2,40,0))</f>
        <v>70</v>
      </c>
      <c r="AM581">
        <f>IF(StudentData[[#This Row],[GradeDrop]]=1,50,0)</f>
        <v>50</v>
      </c>
      <c r="AN581">
        <f>0.4*StudentData[[#This Row],[FailureScore]]+0.3*StudentData[[#This Row],[AbsenceScore]]+0.2*StudentData[[#This Row],[StudyRisk]]+0.1*StudentData[[#This Row],[TrendRisk]]</f>
        <v>19</v>
      </c>
      <c r="AO581" t="str">
        <f>IF(StudentData[[#This Row],[RiskIndex]]&lt;=30,"Low",IF(StudentData[[#This Row],[RiskIndex]]&lt;=60,"Medium","High"))</f>
        <v>Low</v>
      </c>
      <c r="AP581">
        <f>StudentData[[#This Row],[G3]]+('Intervention Simulator'!$C$2*1.5)</f>
        <v>9</v>
      </c>
      <c r="AQ581" t="str">
        <f>IF(StudentData[[#This Row],[ProjectedGrade]]&gt;=10,"Pass","Fail")</f>
        <v>Fail</v>
      </c>
    </row>
    <row r="582" spans="1:43" x14ac:dyDescent="0.3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  <c r="AH582" t="str">
        <f>IF(StudentData[[#This Row],[G3]]&gt;=10,"Pass","Fail")</f>
        <v>Pass</v>
      </c>
      <c r="AI582">
        <f>IF(StudentData[[#This Row],[G3]]&lt;StudentData[[#This Row],[G2]],1,0)</f>
        <v>0</v>
      </c>
      <c r="AJ582">
        <f>IF(StudentData[[#This Row],[failures]]&gt;=2,100,IF(StudentData[[#This Row],[failures]]=1,60,0))</f>
        <v>60</v>
      </c>
      <c r="AK582">
        <f>IF(StudentData[[#This Row],[absences]]&gt;15,80,IF(StudentData[[#This Row],[absences]]&gt;10,50,0))</f>
        <v>0</v>
      </c>
      <c r="AL582">
        <f>IF(StudentData[[#This Row],[studytime]]=1,70,IF(StudentData[[#This Row],[studytime]]=2,40,0))</f>
        <v>70</v>
      </c>
      <c r="AM582">
        <f>IF(StudentData[[#This Row],[GradeDrop]]=1,50,0)</f>
        <v>0</v>
      </c>
      <c r="AN582">
        <f>0.4*StudentData[[#This Row],[FailureScore]]+0.3*StudentData[[#This Row],[AbsenceScore]]+0.2*StudentData[[#This Row],[StudyRisk]]+0.1*StudentData[[#This Row],[TrendRisk]]</f>
        <v>38</v>
      </c>
      <c r="AO582" t="str">
        <f>IF(StudentData[[#This Row],[RiskIndex]]&lt;=30,"Low",IF(StudentData[[#This Row],[RiskIndex]]&lt;=60,"Medium","High"))</f>
        <v>Medium</v>
      </c>
      <c r="AP582">
        <f>StudentData[[#This Row],[G3]]+('Intervention Simulator'!$C$2*1.5)</f>
        <v>10</v>
      </c>
      <c r="AQ582" t="str">
        <f>IF(StudentData[[#This Row],[ProjectedGrade]]&gt;=10,"Pass","Fail")</f>
        <v>Pass</v>
      </c>
    </row>
    <row r="583" spans="1:43" x14ac:dyDescent="0.3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  <c r="AH583" t="str">
        <f>IF(StudentData[[#This Row],[G3]]&gt;=10,"Pass","Fail")</f>
        <v>Fail</v>
      </c>
      <c r="AI583">
        <f>IF(StudentData[[#This Row],[G3]]&lt;StudentData[[#This Row],[G2]],1,0)</f>
        <v>0</v>
      </c>
      <c r="AJ583">
        <f>IF(StudentData[[#This Row],[failures]]&gt;=2,100,IF(StudentData[[#This Row],[failures]]=1,60,0))</f>
        <v>100</v>
      </c>
      <c r="AK583">
        <f>IF(StudentData[[#This Row],[absences]]&gt;15,80,IF(StudentData[[#This Row],[absences]]&gt;10,50,0))</f>
        <v>0</v>
      </c>
      <c r="AL583">
        <f>IF(StudentData[[#This Row],[studytime]]=1,70,IF(StudentData[[#This Row],[studytime]]=2,40,0))</f>
        <v>40</v>
      </c>
      <c r="AM583">
        <f>IF(StudentData[[#This Row],[GradeDrop]]=1,50,0)</f>
        <v>0</v>
      </c>
      <c r="AN583">
        <f>0.4*StudentData[[#This Row],[FailureScore]]+0.3*StudentData[[#This Row],[AbsenceScore]]+0.2*StudentData[[#This Row],[StudyRisk]]+0.1*StudentData[[#This Row],[TrendRisk]]</f>
        <v>48</v>
      </c>
      <c r="AO583" t="str">
        <f>IF(StudentData[[#This Row],[RiskIndex]]&lt;=30,"Low",IF(StudentData[[#This Row],[RiskIndex]]&lt;=60,"Medium","High"))</f>
        <v>Medium</v>
      </c>
      <c r="AP583">
        <f>StudentData[[#This Row],[G3]]+('Intervention Simulator'!$C$2*1.5)</f>
        <v>8</v>
      </c>
      <c r="AQ583" t="str">
        <f>IF(StudentData[[#This Row],[ProjectedGrade]]&gt;=10,"Pass","Fail")</f>
        <v>Fail</v>
      </c>
    </row>
    <row r="584" spans="1:43" x14ac:dyDescent="0.3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  <c r="AH584" t="str">
        <f>IF(StudentData[[#This Row],[G3]]&gt;=10,"Pass","Fail")</f>
        <v>Fail</v>
      </c>
      <c r="AI584">
        <f>IF(StudentData[[#This Row],[G3]]&lt;StudentData[[#This Row],[G2]],1,0)</f>
        <v>1</v>
      </c>
      <c r="AJ584">
        <f>IF(StudentData[[#This Row],[failures]]&gt;=2,100,IF(StudentData[[#This Row],[failures]]=1,60,0))</f>
        <v>0</v>
      </c>
      <c r="AK584">
        <f>IF(StudentData[[#This Row],[absences]]&gt;15,80,IF(StudentData[[#This Row],[absences]]&gt;10,50,0))</f>
        <v>0</v>
      </c>
      <c r="AL584">
        <f>IF(StudentData[[#This Row],[studytime]]=1,70,IF(StudentData[[#This Row],[studytime]]=2,40,0))</f>
        <v>70</v>
      </c>
      <c r="AM584">
        <f>IF(StudentData[[#This Row],[GradeDrop]]=1,50,0)</f>
        <v>50</v>
      </c>
      <c r="AN584">
        <f>0.4*StudentData[[#This Row],[FailureScore]]+0.3*StudentData[[#This Row],[AbsenceScore]]+0.2*StudentData[[#This Row],[StudyRisk]]+0.1*StudentData[[#This Row],[TrendRisk]]</f>
        <v>19</v>
      </c>
      <c r="AO584" t="str">
        <f>IF(StudentData[[#This Row],[RiskIndex]]&lt;=30,"Low",IF(StudentData[[#This Row],[RiskIndex]]&lt;=60,"Medium","High"))</f>
        <v>Low</v>
      </c>
      <c r="AP584">
        <f>StudentData[[#This Row],[G3]]+('Intervention Simulator'!$C$2*1.5)</f>
        <v>7</v>
      </c>
      <c r="AQ584" t="str">
        <f>IF(StudentData[[#This Row],[ProjectedGrade]]&gt;=10,"Pass","Fail")</f>
        <v>Fail</v>
      </c>
    </row>
    <row r="585" spans="1:43" x14ac:dyDescent="0.3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  <c r="AH585" t="str">
        <f>IF(StudentData[[#This Row],[G3]]&gt;=10,"Pass","Fail")</f>
        <v>Fail</v>
      </c>
      <c r="AI585">
        <f>IF(StudentData[[#This Row],[G3]]&lt;StudentData[[#This Row],[G2]],1,0)</f>
        <v>1</v>
      </c>
      <c r="AJ585">
        <f>IF(StudentData[[#This Row],[failures]]&gt;=2,100,IF(StudentData[[#This Row],[failures]]=1,60,0))</f>
        <v>60</v>
      </c>
      <c r="AK585">
        <f>IF(StudentData[[#This Row],[absences]]&gt;15,80,IF(StudentData[[#This Row],[absences]]&gt;10,50,0))</f>
        <v>0</v>
      </c>
      <c r="AL585">
        <f>IF(StudentData[[#This Row],[studytime]]=1,70,IF(StudentData[[#This Row],[studytime]]=2,40,0))</f>
        <v>70</v>
      </c>
      <c r="AM585">
        <f>IF(StudentData[[#This Row],[GradeDrop]]=1,50,0)</f>
        <v>50</v>
      </c>
      <c r="AN585">
        <f>0.4*StudentData[[#This Row],[FailureScore]]+0.3*StudentData[[#This Row],[AbsenceScore]]+0.2*StudentData[[#This Row],[StudyRisk]]+0.1*StudentData[[#This Row],[TrendRisk]]</f>
        <v>43</v>
      </c>
      <c r="AO585" t="str">
        <f>IF(StudentData[[#This Row],[RiskIndex]]&lt;=30,"Low",IF(StudentData[[#This Row],[RiskIndex]]&lt;=60,"Medium","High"))</f>
        <v>Medium</v>
      </c>
      <c r="AP585">
        <f>StudentData[[#This Row],[G3]]+('Intervention Simulator'!$C$2*1.5)</f>
        <v>0</v>
      </c>
      <c r="AQ585" t="str">
        <f>IF(StudentData[[#This Row],[ProjectedGrade]]&gt;=10,"Pass","Fail")</f>
        <v>Fail</v>
      </c>
    </row>
    <row r="586" spans="1:43" x14ac:dyDescent="0.3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  <c r="AH586" t="str">
        <f>IF(StudentData[[#This Row],[G3]]&gt;=10,"Pass","Fail")</f>
        <v>Pass</v>
      </c>
      <c r="AI586">
        <f>IF(StudentData[[#This Row],[G3]]&lt;StudentData[[#This Row],[G2]],1,0)</f>
        <v>0</v>
      </c>
      <c r="AJ586">
        <f>IF(StudentData[[#This Row],[failures]]&gt;=2,100,IF(StudentData[[#This Row],[failures]]=1,60,0))</f>
        <v>0</v>
      </c>
      <c r="AK586">
        <f>IF(StudentData[[#This Row],[absences]]&gt;15,80,IF(StudentData[[#This Row],[absences]]&gt;10,50,0))</f>
        <v>0</v>
      </c>
      <c r="AL586">
        <f>IF(StudentData[[#This Row],[studytime]]=1,70,IF(StudentData[[#This Row],[studytime]]=2,40,0))</f>
        <v>70</v>
      </c>
      <c r="AM586">
        <f>IF(StudentData[[#This Row],[GradeDrop]]=1,50,0)</f>
        <v>0</v>
      </c>
      <c r="AN586">
        <f>0.4*StudentData[[#This Row],[FailureScore]]+0.3*StudentData[[#This Row],[AbsenceScore]]+0.2*StudentData[[#This Row],[StudyRisk]]+0.1*StudentData[[#This Row],[TrendRisk]]</f>
        <v>14</v>
      </c>
      <c r="AO586" t="str">
        <f>IF(StudentData[[#This Row],[RiskIndex]]&lt;=30,"Low",IF(StudentData[[#This Row],[RiskIndex]]&lt;=60,"Medium","High"))</f>
        <v>Low</v>
      </c>
      <c r="AP586">
        <f>StudentData[[#This Row],[G3]]+('Intervention Simulator'!$C$2*1.5)</f>
        <v>11</v>
      </c>
      <c r="AQ586" t="str">
        <f>IF(StudentData[[#This Row],[ProjectedGrade]]&gt;=10,"Pass","Fail")</f>
        <v>Pass</v>
      </c>
    </row>
    <row r="587" spans="1:43" x14ac:dyDescent="0.3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  <c r="AH587" t="str">
        <f>IF(StudentData[[#This Row],[G3]]&gt;=10,"Pass","Fail")</f>
        <v>Fail</v>
      </c>
      <c r="AI587">
        <f>IF(StudentData[[#This Row],[G3]]&lt;StudentData[[#This Row],[G2]],1,0)</f>
        <v>0</v>
      </c>
      <c r="AJ587">
        <f>IF(StudentData[[#This Row],[failures]]&gt;=2,100,IF(StudentData[[#This Row],[failures]]=1,60,0))</f>
        <v>0</v>
      </c>
      <c r="AK587">
        <f>IF(StudentData[[#This Row],[absences]]&gt;15,80,IF(StudentData[[#This Row],[absences]]&gt;10,50,0))</f>
        <v>0</v>
      </c>
      <c r="AL587">
        <f>IF(StudentData[[#This Row],[studytime]]=1,70,IF(StudentData[[#This Row],[studytime]]=2,40,0))</f>
        <v>0</v>
      </c>
      <c r="AM587">
        <f>IF(StudentData[[#This Row],[GradeDrop]]=1,50,0)</f>
        <v>0</v>
      </c>
      <c r="AN587">
        <f>0.4*StudentData[[#This Row],[FailureScore]]+0.3*StudentData[[#This Row],[AbsenceScore]]+0.2*StudentData[[#This Row],[StudyRisk]]+0.1*StudentData[[#This Row],[TrendRisk]]</f>
        <v>0</v>
      </c>
      <c r="AO587" t="str">
        <f>IF(StudentData[[#This Row],[RiskIndex]]&lt;=30,"Low",IF(StudentData[[#This Row],[RiskIndex]]&lt;=60,"Medium","High"))</f>
        <v>Low</v>
      </c>
      <c r="AP587">
        <f>StudentData[[#This Row],[G3]]+('Intervention Simulator'!$C$2*1.5)</f>
        <v>8</v>
      </c>
      <c r="AQ587" t="str">
        <f>IF(StudentData[[#This Row],[ProjectedGrade]]&gt;=10,"Pass","Fail")</f>
        <v>Fail</v>
      </c>
    </row>
    <row r="588" spans="1:43" x14ac:dyDescent="0.3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  <c r="AH588" t="str">
        <f>IF(StudentData[[#This Row],[G3]]&gt;=10,"Pass","Fail")</f>
        <v>Fail</v>
      </c>
      <c r="AI588">
        <f>IF(StudentData[[#This Row],[G3]]&lt;StudentData[[#This Row],[G2]],1,0)</f>
        <v>1</v>
      </c>
      <c r="AJ588">
        <f>IF(StudentData[[#This Row],[failures]]&gt;=2,100,IF(StudentData[[#This Row],[failures]]=1,60,0))</f>
        <v>0</v>
      </c>
      <c r="AK588">
        <f>IF(StudentData[[#This Row],[absences]]&gt;15,80,IF(StudentData[[#This Row],[absences]]&gt;10,50,0))</f>
        <v>0</v>
      </c>
      <c r="AL588">
        <f>IF(StudentData[[#This Row],[studytime]]=1,70,IF(StudentData[[#This Row],[studytime]]=2,40,0))</f>
        <v>40</v>
      </c>
      <c r="AM588">
        <f>IF(StudentData[[#This Row],[GradeDrop]]=1,50,0)</f>
        <v>50</v>
      </c>
      <c r="AN588">
        <f>0.4*StudentData[[#This Row],[FailureScore]]+0.3*StudentData[[#This Row],[AbsenceScore]]+0.2*StudentData[[#This Row],[StudyRisk]]+0.1*StudentData[[#This Row],[TrendRisk]]</f>
        <v>13</v>
      </c>
      <c r="AO588" t="str">
        <f>IF(StudentData[[#This Row],[RiskIndex]]&lt;=30,"Low",IF(StudentData[[#This Row],[RiskIndex]]&lt;=60,"Medium","High"))</f>
        <v>Low</v>
      </c>
      <c r="AP588">
        <f>StudentData[[#This Row],[G3]]+('Intervention Simulator'!$C$2*1.5)</f>
        <v>0</v>
      </c>
      <c r="AQ588" t="str">
        <f>IF(StudentData[[#This Row],[ProjectedGrade]]&gt;=10,"Pass","Fail")</f>
        <v>Fail</v>
      </c>
    </row>
    <row r="589" spans="1:43" x14ac:dyDescent="0.3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  <c r="AH589" t="str">
        <f>IF(StudentData[[#This Row],[G3]]&gt;=10,"Pass","Fail")</f>
        <v>Fail</v>
      </c>
      <c r="AI589">
        <f>IF(StudentData[[#This Row],[G3]]&lt;StudentData[[#This Row],[G2]],1,0)</f>
        <v>0</v>
      </c>
      <c r="AJ589">
        <f>IF(StudentData[[#This Row],[failures]]&gt;=2,100,IF(StudentData[[#This Row],[failures]]=1,60,0))</f>
        <v>60</v>
      </c>
      <c r="AK589">
        <f>IF(StudentData[[#This Row],[absences]]&gt;15,80,IF(StudentData[[#This Row],[absences]]&gt;10,50,0))</f>
        <v>0</v>
      </c>
      <c r="AL589">
        <f>IF(StudentData[[#This Row],[studytime]]=1,70,IF(StudentData[[#This Row],[studytime]]=2,40,0))</f>
        <v>40</v>
      </c>
      <c r="AM589">
        <f>IF(StudentData[[#This Row],[GradeDrop]]=1,50,0)</f>
        <v>0</v>
      </c>
      <c r="AN589">
        <f>0.4*StudentData[[#This Row],[FailureScore]]+0.3*StudentData[[#This Row],[AbsenceScore]]+0.2*StudentData[[#This Row],[StudyRisk]]+0.1*StudentData[[#This Row],[TrendRisk]]</f>
        <v>32</v>
      </c>
      <c r="AO589" t="str">
        <f>IF(StudentData[[#This Row],[RiskIndex]]&lt;=30,"Low",IF(StudentData[[#This Row],[RiskIndex]]&lt;=60,"Medium","High"))</f>
        <v>Medium</v>
      </c>
      <c r="AP589">
        <f>StudentData[[#This Row],[G3]]+('Intervention Simulator'!$C$2*1.5)</f>
        <v>8</v>
      </c>
      <c r="AQ589" t="str">
        <f>IF(StudentData[[#This Row],[ProjectedGrade]]&gt;=10,"Pass","Fail")</f>
        <v>Fail</v>
      </c>
    </row>
    <row r="590" spans="1:43" x14ac:dyDescent="0.3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  <c r="AH590" t="str">
        <f>IF(StudentData[[#This Row],[G3]]&gt;=10,"Pass","Fail")</f>
        <v>Fail</v>
      </c>
      <c r="AI590">
        <f>IF(StudentData[[#This Row],[G3]]&lt;StudentData[[#This Row],[G2]],1,0)</f>
        <v>1</v>
      </c>
      <c r="AJ590">
        <f>IF(StudentData[[#This Row],[failures]]&gt;=2,100,IF(StudentData[[#This Row],[failures]]=1,60,0))</f>
        <v>0</v>
      </c>
      <c r="AK590">
        <f>IF(StudentData[[#This Row],[absences]]&gt;15,80,IF(StudentData[[#This Row],[absences]]&gt;10,50,0))</f>
        <v>0</v>
      </c>
      <c r="AL590">
        <f>IF(StudentData[[#This Row],[studytime]]=1,70,IF(StudentData[[#This Row],[studytime]]=2,40,0))</f>
        <v>70</v>
      </c>
      <c r="AM590">
        <f>IF(StudentData[[#This Row],[GradeDrop]]=1,50,0)</f>
        <v>50</v>
      </c>
      <c r="AN590">
        <f>0.4*StudentData[[#This Row],[FailureScore]]+0.3*StudentData[[#This Row],[AbsenceScore]]+0.2*StudentData[[#This Row],[StudyRisk]]+0.1*StudentData[[#This Row],[TrendRisk]]</f>
        <v>19</v>
      </c>
      <c r="AO590" t="str">
        <f>IF(StudentData[[#This Row],[RiskIndex]]&lt;=30,"Low",IF(StudentData[[#This Row],[RiskIndex]]&lt;=60,"Medium","High"))</f>
        <v>Low</v>
      </c>
      <c r="AP590">
        <f>StudentData[[#This Row],[G3]]+('Intervention Simulator'!$C$2*1.5)</f>
        <v>9</v>
      </c>
      <c r="AQ590" t="str">
        <f>IF(StudentData[[#This Row],[ProjectedGrade]]&gt;=10,"Pass","Fail")</f>
        <v>Fail</v>
      </c>
    </row>
    <row r="591" spans="1:43" x14ac:dyDescent="0.3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  <c r="AH591" t="str">
        <f>IF(StudentData[[#This Row],[G3]]&gt;=10,"Pass","Fail")</f>
        <v>Pass</v>
      </c>
      <c r="AI591">
        <f>IF(StudentData[[#This Row],[G3]]&lt;StudentData[[#This Row],[G2]],1,0)</f>
        <v>0</v>
      </c>
      <c r="AJ591">
        <f>IF(StudentData[[#This Row],[failures]]&gt;=2,100,IF(StudentData[[#This Row],[failures]]=1,60,0))</f>
        <v>0</v>
      </c>
      <c r="AK591">
        <f>IF(StudentData[[#This Row],[absences]]&gt;15,80,IF(StudentData[[#This Row],[absences]]&gt;10,50,0))</f>
        <v>0</v>
      </c>
      <c r="AL591">
        <f>IF(StudentData[[#This Row],[studytime]]=1,70,IF(StudentData[[#This Row],[studytime]]=2,40,0))</f>
        <v>70</v>
      </c>
      <c r="AM591">
        <f>IF(StudentData[[#This Row],[GradeDrop]]=1,50,0)</f>
        <v>0</v>
      </c>
      <c r="AN591">
        <f>0.4*StudentData[[#This Row],[FailureScore]]+0.3*StudentData[[#This Row],[AbsenceScore]]+0.2*StudentData[[#This Row],[StudyRisk]]+0.1*StudentData[[#This Row],[TrendRisk]]</f>
        <v>14</v>
      </c>
      <c r="AO591" t="str">
        <f>IF(StudentData[[#This Row],[RiskIndex]]&lt;=30,"Low",IF(StudentData[[#This Row],[RiskIndex]]&lt;=60,"Medium","High"))</f>
        <v>Low</v>
      </c>
      <c r="AP591">
        <f>StudentData[[#This Row],[G3]]+('Intervention Simulator'!$C$2*1.5)</f>
        <v>10</v>
      </c>
      <c r="AQ591" t="str">
        <f>IF(StudentData[[#This Row],[ProjectedGrade]]&gt;=10,"Pass","Fail")</f>
        <v>Pass</v>
      </c>
    </row>
    <row r="592" spans="1:43" x14ac:dyDescent="0.3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  <c r="AH592" t="str">
        <f>IF(StudentData[[#This Row],[G3]]&gt;=10,"Pass","Fail")</f>
        <v>Fail</v>
      </c>
      <c r="AI592">
        <f>IF(StudentData[[#This Row],[G3]]&lt;StudentData[[#This Row],[G2]],1,0)</f>
        <v>1</v>
      </c>
      <c r="AJ592">
        <f>IF(StudentData[[#This Row],[failures]]&gt;=2,100,IF(StudentData[[#This Row],[failures]]=1,60,0))</f>
        <v>100</v>
      </c>
      <c r="AK592">
        <f>IF(StudentData[[#This Row],[absences]]&gt;15,80,IF(StudentData[[#This Row],[absences]]&gt;10,50,0))</f>
        <v>0</v>
      </c>
      <c r="AL592">
        <f>IF(StudentData[[#This Row],[studytime]]=1,70,IF(StudentData[[#This Row],[studytime]]=2,40,0))</f>
        <v>40</v>
      </c>
      <c r="AM592">
        <f>IF(StudentData[[#This Row],[GradeDrop]]=1,50,0)</f>
        <v>50</v>
      </c>
      <c r="AN592">
        <f>0.4*StudentData[[#This Row],[FailureScore]]+0.3*StudentData[[#This Row],[AbsenceScore]]+0.2*StudentData[[#This Row],[StudyRisk]]+0.1*StudentData[[#This Row],[TrendRisk]]</f>
        <v>53</v>
      </c>
      <c r="AO592" t="str">
        <f>IF(StudentData[[#This Row],[RiskIndex]]&lt;=30,"Low",IF(StudentData[[#This Row],[RiskIndex]]&lt;=60,"Medium","High"))</f>
        <v>Medium</v>
      </c>
      <c r="AP592">
        <f>StudentData[[#This Row],[G3]]+('Intervention Simulator'!$C$2*1.5)</f>
        <v>7</v>
      </c>
      <c r="AQ592" t="str">
        <f>IF(StudentData[[#This Row],[ProjectedGrade]]&gt;=10,"Pass","Fail")</f>
        <v>Fail</v>
      </c>
    </row>
    <row r="593" spans="1:43" x14ac:dyDescent="0.3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  <c r="AH593" t="str">
        <f>IF(StudentData[[#This Row],[G3]]&gt;=10,"Pass","Fail")</f>
        <v>Pass</v>
      </c>
      <c r="AI593">
        <f>IF(StudentData[[#This Row],[G3]]&lt;StudentData[[#This Row],[G2]],1,0)</f>
        <v>0</v>
      </c>
      <c r="AJ593">
        <f>IF(StudentData[[#This Row],[failures]]&gt;=2,100,IF(StudentData[[#This Row],[failures]]=1,60,0))</f>
        <v>0</v>
      </c>
      <c r="AK593">
        <f>IF(StudentData[[#This Row],[absences]]&gt;15,80,IF(StudentData[[#This Row],[absences]]&gt;10,50,0))</f>
        <v>0</v>
      </c>
      <c r="AL593">
        <f>IF(StudentData[[#This Row],[studytime]]=1,70,IF(StudentData[[#This Row],[studytime]]=2,40,0))</f>
        <v>40</v>
      </c>
      <c r="AM593">
        <f>IF(StudentData[[#This Row],[GradeDrop]]=1,50,0)</f>
        <v>0</v>
      </c>
      <c r="AN593">
        <f>0.4*StudentData[[#This Row],[FailureScore]]+0.3*StudentData[[#This Row],[AbsenceScore]]+0.2*StudentData[[#This Row],[StudyRisk]]+0.1*StudentData[[#This Row],[TrendRisk]]</f>
        <v>8</v>
      </c>
      <c r="AO593" t="str">
        <f>IF(StudentData[[#This Row],[RiskIndex]]&lt;=30,"Low",IF(StudentData[[#This Row],[RiskIndex]]&lt;=60,"Medium","High"))</f>
        <v>Low</v>
      </c>
      <c r="AP593">
        <f>StudentData[[#This Row],[G3]]+('Intervention Simulator'!$C$2*1.5)</f>
        <v>14</v>
      </c>
      <c r="AQ593" t="str">
        <f>IF(StudentData[[#This Row],[ProjectedGrade]]&gt;=10,"Pass","Fail")</f>
        <v>Pass</v>
      </c>
    </row>
    <row r="594" spans="1:43" x14ac:dyDescent="0.3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  <c r="AH594" t="str">
        <f>IF(StudentData[[#This Row],[G3]]&gt;=10,"Pass","Fail")</f>
        <v>Pass</v>
      </c>
      <c r="AI594">
        <f>IF(StudentData[[#This Row],[G3]]&lt;StudentData[[#This Row],[G2]],1,0)</f>
        <v>0</v>
      </c>
      <c r="AJ594">
        <f>IF(StudentData[[#This Row],[failures]]&gt;=2,100,IF(StudentData[[#This Row],[failures]]=1,60,0))</f>
        <v>0</v>
      </c>
      <c r="AK594">
        <f>IF(StudentData[[#This Row],[absences]]&gt;15,80,IF(StudentData[[#This Row],[absences]]&gt;10,50,0))</f>
        <v>0</v>
      </c>
      <c r="AL594">
        <f>IF(StudentData[[#This Row],[studytime]]=1,70,IF(StudentData[[#This Row],[studytime]]=2,40,0))</f>
        <v>70</v>
      </c>
      <c r="AM594">
        <f>IF(StudentData[[#This Row],[GradeDrop]]=1,50,0)</f>
        <v>0</v>
      </c>
      <c r="AN594">
        <f>0.4*StudentData[[#This Row],[FailureScore]]+0.3*StudentData[[#This Row],[AbsenceScore]]+0.2*StudentData[[#This Row],[StudyRisk]]+0.1*StudentData[[#This Row],[TrendRisk]]</f>
        <v>14</v>
      </c>
      <c r="AO594" t="str">
        <f>IF(StudentData[[#This Row],[RiskIndex]]&lt;=30,"Low",IF(StudentData[[#This Row],[RiskIndex]]&lt;=60,"Medium","High"))</f>
        <v>Low</v>
      </c>
      <c r="AP594">
        <f>StudentData[[#This Row],[G3]]+('Intervention Simulator'!$C$2*1.5)</f>
        <v>13</v>
      </c>
      <c r="AQ594" t="str">
        <f>IF(StudentData[[#This Row],[ProjectedGrade]]&gt;=10,"Pass","Fail")</f>
        <v>Pass</v>
      </c>
    </row>
    <row r="595" spans="1:43" x14ac:dyDescent="0.3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  <c r="AH595" t="str">
        <f>IF(StudentData[[#This Row],[G3]]&gt;=10,"Pass","Fail")</f>
        <v>Pass</v>
      </c>
      <c r="AI595">
        <f>IF(StudentData[[#This Row],[G3]]&lt;StudentData[[#This Row],[G2]],1,0)</f>
        <v>0</v>
      </c>
      <c r="AJ595">
        <f>IF(StudentData[[#This Row],[failures]]&gt;=2,100,IF(StudentData[[#This Row],[failures]]=1,60,0))</f>
        <v>0</v>
      </c>
      <c r="AK595">
        <f>IF(StudentData[[#This Row],[absences]]&gt;15,80,IF(StudentData[[#This Row],[absences]]&gt;10,50,0))</f>
        <v>0</v>
      </c>
      <c r="AL595">
        <f>IF(StudentData[[#This Row],[studytime]]=1,70,IF(StudentData[[#This Row],[studytime]]=2,40,0))</f>
        <v>40</v>
      </c>
      <c r="AM595">
        <f>IF(StudentData[[#This Row],[GradeDrop]]=1,50,0)</f>
        <v>0</v>
      </c>
      <c r="AN595">
        <f>0.4*StudentData[[#This Row],[FailureScore]]+0.3*StudentData[[#This Row],[AbsenceScore]]+0.2*StudentData[[#This Row],[StudyRisk]]+0.1*StudentData[[#This Row],[TrendRisk]]</f>
        <v>8</v>
      </c>
      <c r="AO595" t="str">
        <f>IF(StudentData[[#This Row],[RiskIndex]]&lt;=30,"Low",IF(StudentData[[#This Row],[RiskIndex]]&lt;=60,"Medium","High"))</f>
        <v>Low</v>
      </c>
      <c r="AP595">
        <f>StudentData[[#This Row],[G3]]+('Intervention Simulator'!$C$2*1.5)</f>
        <v>14</v>
      </c>
      <c r="AQ595" t="str">
        <f>IF(StudentData[[#This Row],[ProjectedGrade]]&gt;=10,"Pass","Fail")</f>
        <v>Pass</v>
      </c>
    </row>
    <row r="596" spans="1:43" x14ac:dyDescent="0.3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  <c r="AH596" t="str">
        <f>IF(StudentData[[#This Row],[G3]]&gt;=10,"Pass","Fail")</f>
        <v>Pass</v>
      </c>
      <c r="AI596">
        <f>IF(StudentData[[#This Row],[G3]]&lt;StudentData[[#This Row],[G2]],1,0)</f>
        <v>0</v>
      </c>
      <c r="AJ596">
        <f>IF(StudentData[[#This Row],[failures]]&gt;=2,100,IF(StudentData[[#This Row],[failures]]=1,60,0))</f>
        <v>0</v>
      </c>
      <c r="AK596">
        <f>IF(StudentData[[#This Row],[absences]]&gt;15,80,IF(StudentData[[#This Row],[absences]]&gt;10,50,0))</f>
        <v>0</v>
      </c>
      <c r="AL596">
        <f>IF(StudentData[[#This Row],[studytime]]=1,70,IF(StudentData[[#This Row],[studytime]]=2,40,0))</f>
        <v>40</v>
      </c>
      <c r="AM596">
        <f>IF(StudentData[[#This Row],[GradeDrop]]=1,50,0)</f>
        <v>0</v>
      </c>
      <c r="AN596">
        <f>0.4*StudentData[[#This Row],[FailureScore]]+0.3*StudentData[[#This Row],[AbsenceScore]]+0.2*StudentData[[#This Row],[StudyRisk]]+0.1*StudentData[[#This Row],[TrendRisk]]</f>
        <v>8</v>
      </c>
      <c r="AO596" t="str">
        <f>IF(StudentData[[#This Row],[RiskIndex]]&lt;=30,"Low",IF(StudentData[[#This Row],[RiskIndex]]&lt;=60,"Medium","High"))</f>
        <v>Low</v>
      </c>
      <c r="AP596">
        <f>StudentData[[#This Row],[G3]]+('Intervention Simulator'!$C$2*1.5)</f>
        <v>18</v>
      </c>
      <c r="AQ596" t="str">
        <f>IF(StudentData[[#This Row],[ProjectedGrade]]&gt;=10,"Pass","Fail")</f>
        <v>Pass</v>
      </c>
    </row>
    <row r="597" spans="1:43" x14ac:dyDescent="0.3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  <c r="AH597" t="str">
        <f>IF(StudentData[[#This Row],[G3]]&gt;=10,"Pass","Fail")</f>
        <v>Pass</v>
      </c>
      <c r="AI597">
        <f>IF(StudentData[[#This Row],[G3]]&lt;StudentData[[#This Row],[G2]],1,0)</f>
        <v>0</v>
      </c>
      <c r="AJ597">
        <f>IF(StudentData[[#This Row],[failures]]&gt;=2,100,IF(StudentData[[#This Row],[failures]]=1,60,0))</f>
        <v>0</v>
      </c>
      <c r="AK597">
        <f>IF(StudentData[[#This Row],[absences]]&gt;15,80,IF(StudentData[[#This Row],[absences]]&gt;10,50,0))</f>
        <v>0</v>
      </c>
      <c r="AL597">
        <f>IF(StudentData[[#This Row],[studytime]]=1,70,IF(StudentData[[#This Row],[studytime]]=2,40,0))</f>
        <v>70</v>
      </c>
      <c r="AM597">
        <f>IF(StudentData[[#This Row],[GradeDrop]]=1,50,0)</f>
        <v>0</v>
      </c>
      <c r="AN597">
        <f>0.4*StudentData[[#This Row],[FailureScore]]+0.3*StudentData[[#This Row],[AbsenceScore]]+0.2*StudentData[[#This Row],[StudyRisk]]+0.1*StudentData[[#This Row],[TrendRisk]]</f>
        <v>14</v>
      </c>
      <c r="AO597" t="str">
        <f>IF(StudentData[[#This Row],[RiskIndex]]&lt;=30,"Low",IF(StudentData[[#This Row],[RiskIndex]]&lt;=60,"Medium","High"))</f>
        <v>Low</v>
      </c>
      <c r="AP597">
        <f>StudentData[[#This Row],[G3]]+('Intervention Simulator'!$C$2*1.5)</f>
        <v>17</v>
      </c>
      <c r="AQ597" t="str">
        <f>IF(StudentData[[#This Row],[ProjectedGrade]]&gt;=10,"Pass","Fail")</f>
        <v>Pass</v>
      </c>
    </row>
    <row r="598" spans="1:43" x14ac:dyDescent="0.3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  <c r="AH598" t="str">
        <f>IF(StudentData[[#This Row],[G3]]&gt;=10,"Pass","Fail")</f>
        <v>Pass</v>
      </c>
      <c r="AI598">
        <f>IF(StudentData[[#This Row],[G3]]&lt;StudentData[[#This Row],[G2]],1,0)</f>
        <v>0</v>
      </c>
      <c r="AJ598">
        <f>IF(StudentData[[#This Row],[failures]]&gt;=2,100,IF(StudentData[[#This Row],[failures]]=1,60,0))</f>
        <v>0</v>
      </c>
      <c r="AK598">
        <f>IF(StudentData[[#This Row],[absences]]&gt;15,80,IF(StudentData[[#This Row],[absences]]&gt;10,50,0))</f>
        <v>0</v>
      </c>
      <c r="AL598">
        <f>IF(StudentData[[#This Row],[studytime]]=1,70,IF(StudentData[[#This Row],[studytime]]=2,40,0))</f>
        <v>40</v>
      </c>
      <c r="AM598">
        <f>IF(StudentData[[#This Row],[GradeDrop]]=1,50,0)</f>
        <v>0</v>
      </c>
      <c r="AN598">
        <f>0.4*StudentData[[#This Row],[FailureScore]]+0.3*StudentData[[#This Row],[AbsenceScore]]+0.2*StudentData[[#This Row],[StudyRisk]]+0.1*StudentData[[#This Row],[TrendRisk]]</f>
        <v>8</v>
      </c>
      <c r="AO598" t="str">
        <f>IF(StudentData[[#This Row],[RiskIndex]]&lt;=30,"Low",IF(StudentData[[#This Row],[RiskIndex]]&lt;=60,"Medium","High"))</f>
        <v>Low</v>
      </c>
      <c r="AP598">
        <f>StudentData[[#This Row],[G3]]+('Intervention Simulator'!$C$2*1.5)</f>
        <v>18</v>
      </c>
      <c r="AQ598" t="str">
        <f>IF(StudentData[[#This Row],[ProjectedGrade]]&gt;=10,"Pass","Fail")</f>
        <v>Pass</v>
      </c>
    </row>
    <row r="599" spans="1:43" x14ac:dyDescent="0.3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  <c r="AH599" t="str">
        <f>IF(StudentData[[#This Row],[G3]]&gt;=10,"Pass","Fail")</f>
        <v>Fail</v>
      </c>
      <c r="AI599">
        <f>IF(StudentData[[#This Row],[G3]]&lt;StudentData[[#This Row],[G2]],1,0)</f>
        <v>0</v>
      </c>
      <c r="AJ599">
        <f>IF(StudentData[[#This Row],[failures]]&gt;=2,100,IF(StudentData[[#This Row],[failures]]=1,60,0))</f>
        <v>60</v>
      </c>
      <c r="AK599">
        <f>IF(StudentData[[#This Row],[absences]]&gt;15,80,IF(StudentData[[#This Row],[absences]]&gt;10,50,0))</f>
        <v>0</v>
      </c>
      <c r="AL599">
        <f>IF(StudentData[[#This Row],[studytime]]=1,70,IF(StudentData[[#This Row],[studytime]]=2,40,0))</f>
        <v>40</v>
      </c>
      <c r="AM599">
        <f>IF(StudentData[[#This Row],[GradeDrop]]=1,50,0)</f>
        <v>0</v>
      </c>
      <c r="AN599">
        <f>0.4*StudentData[[#This Row],[FailureScore]]+0.3*StudentData[[#This Row],[AbsenceScore]]+0.2*StudentData[[#This Row],[StudyRisk]]+0.1*StudentData[[#This Row],[TrendRisk]]</f>
        <v>32</v>
      </c>
      <c r="AO599" t="str">
        <f>IF(StudentData[[#This Row],[RiskIndex]]&lt;=30,"Low",IF(StudentData[[#This Row],[RiskIndex]]&lt;=60,"Medium","High"))</f>
        <v>Medium</v>
      </c>
      <c r="AP599">
        <f>StudentData[[#This Row],[G3]]+('Intervention Simulator'!$C$2*1.5)</f>
        <v>0</v>
      </c>
      <c r="AQ599" t="str">
        <f>IF(StudentData[[#This Row],[ProjectedGrade]]&gt;=10,"Pass","Fail")</f>
        <v>Fail</v>
      </c>
    </row>
    <row r="600" spans="1:43" x14ac:dyDescent="0.3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  <c r="AH600" t="str">
        <f>IF(StudentData[[#This Row],[G3]]&gt;=10,"Pass","Fail")</f>
        <v>Pass</v>
      </c>
      <c r="AI600">
        <f>IF(StudentData[[#This Row],[G3]]&lt;StudentData[[#This Row],[G2]],1,0)</f>
        <v>0</v>
      </c>
      <c r="AJ600">
        <f>IF(StudentData[[#This Row],[failures]]&gt;=2,100,IF(StudentData[[#This Row],[failures]]=1,60,0))</f>
        <v>0</v>
      </c>
      <c r="AK600">
        <f>IF(StudentData[[#This Row],[absences]]&gt;15,80,IF(StudentData[[#This Row],[absences]]&gt;10,50,0))</f>
        <v>0</v>
      </c>
      <c r="AL600">
        <f>IF(StudentData[[#This Row],[studytime]]=1,70,IF(StudentData[[#This Row],[studytime]]=2,40,0))</f>
        <v>70</v>
      </c>
      <c r="AM600">
        <f>IF(StudentData[[#This Row],[GradeDrop]]=1,50,0)</f>
        <v>0</v>
      </c>
      <c r="AN600">
        <f>0.4*StudentData[[#This Row],[FailureScore]]+0.3*StudentData[[#This Row],[AbsenceScore]]+0.2*StudentData[[#This Row],[StudyRisk]]+0.1*StudentData[[#This Row],[TrendRisk]]</f>
        <v>14</v>
      </c>
      <c r="AO600" t="str">
        <f>IF(StudentData[[#This Row],[RiskIndex]]&lt;=30,"Low",IF(StudentData[[#This Row],[RiskIndex]]&lt;=60,"Medium","High"))</f>
        <v>Low</v>
      </c>
      <c r="AP600">
        <f>StudentData[[#This Row],[G3]]+('Intervention Simulator'!$C$2*1.5)</f>
        <v>11</v>
      </c>
      <c r="AQ600" t="str">
        <f>IF(StudentData[[#This Row],[ProjectedGrade]]&gt;=10,"Pass","Fail")</f>
        <v>Pass</v>
      </c>
    </row>
    <row r="601" spans="1:43" x14ac:dyDescent="0.3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  <c r="AH601" t="str">
        <f>IF(StudentData[[#This Row],[G3]]&gt;=10,"Pass","Fail")</f>
        <v>Pass</v>
      </c>
      <c r="AI601">
        <f>IF(StudentData[[#This Row],[G3]]&lt;StudentData[[#This Row],[G2]],1,0)</f>
        <v>0</v>
      </c>
      <c r="AJ601">
        <f>IF(StudentData[[#This Row],[failures]]&gt;=2,100,IF(StudentData[[#This Row],[failures]]=1,60,0))</f>
        <v>0</v>
      </c>
      <c r="AK601">
        <f>IF(StudentData[[#This Row],[absences]]&gt;15,80,IF(StudentData[[#This Row],[absences]]&gt;10,50,0))</f>
        <v>0</v>
      </c>
      <c r="AL601">
        <f>IF(StudentData[[#This Row],[studytime]]=1,70,IF(StudentData[[#This Row],[studytime]]=2,40,0))</f>
        <v>70</v>
      </c>
      <c r="AM601">
        <f>IF(StudentData[[#This Row],[GradeDrop]]=1,50,0)</f>
        <v>0</v>
      </c>
      <c r="AN601">
        <f>0.4*StudentData[[#This Row],[FailureScore]]+0.3*StudentData[[#This Row],[AbsenceScore]]+0.2*StudentData[[#This Row],[StudyRisk]]+0.1*StudentData[[#This Row],[TrendRisk]]</f>
        <v>14</v>
      </c>
      <c r="AO601" t="str">
        <f>IF(StudentData[[#This Row],[RiskIndex]]&lt;=30,"Low",IF(StudentData[[#This Row],[RiskIndex]]&lt;=60,"Medium","High"))</f>
        <v>Low</v>
      </c>
      <c r="AP601">
        <f>StudentData[[#This Row],[G3]]+('Intervention Simulator'!$C$2*1.5)</f>
        <v>14</v>
      </c>
      <c r="AQ601" t="str">
        <f>IF(StudentData[[#This Row],[ProjectedGrade]]&gt;=10,"Pass","Fail")</f>
        <v>Pass</v>
      </c>
    </row>
    <row r="602" spans="1:43" x14ac:dyDescent="0.3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  <c r="AH602" t="str">
        <f>IF(StudentData[[#This Row],[G3]]&gt;=10,"Pass","Fail")</f>
        <v>Pass</v>
      </c>
      <c r="AI602">
        <f>IF(StudentData[[#This Row],[G3]]&lt;StudentData[[#This Row],[G2]],1,0)</f>
        <v>0</v>
      </c>
      <c r="AJ602">
        <f>IF(StudentData[[#This Row],[failures]]&gt;=2,100,IF(StudentData[[#This Row],[failures]]=1,60,0))</f>
        <v>0</v>
      </c>
      <c r="AK602">
        <f>IF(StudentData[[#This Row],[absences]]&gt;15,80,IF(StudentData[[#This Row],[absences]]&gt;10,50,0))</f>
        <v>0</v>
      </c>
      <c r="AL602">
        <f>IF(StudentData[[#This Row],[studytime]]=1,70,IF(StudentData[[#This Row],[studytime]]=2,40,0))</f>
        <v>70</v>
      </c>
      <c r="AM602">
        <f>IF(StudentData[[#This Row],[GradeDrop]]=1,50,0)</f>
        <v>0</v>
      </c>
      <c r="AN602">
        <f>0.4*StudentData[[#This Row],[FailureScore]]+0.3*StudentData[[#This Row],[AbsenceScore]]+0.2*StudentData[[#This Row],[StudyRisk]]+0.1*StudentData[[#This Row],[TrendRisk]]</f>
        <v>14</v>
      </c>
      <c r="AO602" t="str">
        <f>IF(StudentData[[#This Row],[RiskIndex]]&lt;=30,"Low",IF(StudentData[[#This Row],[RiskIndex]]&lt;=60,"Medium","High"))</f>
        <v>Low</v>
      </c>
      <c r="AP602">
        <f>StudentData[[#This Row],[G3]]+('Intervention Simulator'!$C$2*1.5)</f>
        <v>14</v>
      </c>
      <c r="AQ602" t="str">
        <f>IF(StudentData[[#This Row],[ProjectedGrade]]&gt;=10,"Pass","Fail")</f>
        <v>Pass</v>
      </c>
    </row>
    <row r="603" spans="1:43" x14ac:dyDescent="0.3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  <c r="AH603" t="str">
        <f>IF(StudentData[[#This Row],[G3]]&gt;=10,"Pass","Fail")</f>
        <v>Pass</v>
      </c>
      <c r="AI603">
        <f>IF(StudentData[[#This Row],[G3]]&lt;StudentData[[#This Row],[G2]],1,0)</f>
        <v>0</v>
      </c>
      <c r="AJ603">
        <f>IF(StudentData[[#This Row],[failures]]&gt;=2,100,IF(StudentData[[#This Row],[failures]]=1,60,0))</f>
        <v>0</v>
      </c>
      <c r="AK603">
        <f>IF(StudentData[[#This Row],[absences]]&gt;15,80,IF(StudentData[[#This Row],[absences]]&gt;10,50,0))</f>
        <v>0</v>
      </c>
      <c r="AL603">
        <f>IF(StudentData[[#This Row],[studytime]]=1,70,IF(StudentData[[#This Row],[studytime]]=2,40,0))</f>
        <v>40</v>
      </c>
      <c r="AM603">
        <f>IF(StudentData[[#This Row],[GradeDrop]]=1,50,0)</f>
        <v>0</v>
      </c>
      <c r="AN603">
        <f>0.4*StudentData[[#This Row],[FailureScore]]+0.3*StudentData[[#This Row],[AbsenceScore]]+0.2*StudentData[[#This Row],[StudyRisk]]+0.1*StudentData[[#This Row],[TrendRisk]]</f>
        <v>8</v>
      </c>
      <c r="AO603" t="str">
        <f>IF(StudentData[[#This Row],[RiskIndex]]&lt;=30,"Low",IF(StudentData[[#This Row],[RiskIndex]]&lt;=60,"Medium","High"))</f>
        <v>Low</v>
      </c>
      <c r="AP603">
        <f>StudentData[[#This Row],[G3]]+('Intervention Simulator'!$C$2*1.5)</f>
        <v>10</v>
      </c>
      <c r="AQ603" t="str">
        <f>IF(StudentData[[#This Row],[ProjectedGrade]]&gt;=10,"Pass","Fail")</f>
        <v>Pass</v>
      </c>
    </row>
    <row r="604" spans="1:43" x14ac:dyDescent="0.3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  <c r="AH604" t="str">
        <f>IF(StudentData[[#This Row],[G3]]&gt;=10,"Pass","Fail")</f>
        <v>Pass</v>
      </c>
      <c r="AI604">
        <f>IF(StudentData[[#This Row],[G3]]&lt;StudentData[[#This Row],[G2]],1,0)</f>
        <v>0</v>
      </c>
      <c r="AJ604">
        <f>IF(StudentData[[#This Row],[failures]]&gt;=2,100,IF(StudentData[[#This Row],[failures]]=1,60,0))</f>
        <v>0</v>
      </c>
      <c r="AK604">
        <f>IF(StudentData[[#This Row],[absences]]&gt;15,80,IF(StudentData[[#This Row],[absences]]&gt;10,50,0))</f>
        <v>0</v>
      </c>
      <c r="AL604">
        <f>IF(StudentData[[#This Row],[studytime]]=1,70,IF(StudentData[[#This Row],[studytime]]=2,40,0))</f>
        <v>0</v>
      </c>
      <c r="AM604">
        <f>IF(StudentData[[#This Row],[GradeDrop]]=1,50,0)</f>
        <v>0</v>
      </c>
      <c r="AN604">
        <f>0.4*StudentData[[#This Row],[FailureScore]]+0.3*StudentData[[#This Row],[AbsenceScore]]+0.2*StudentData[[#This Row],[StudyRisk]]+0.1*StudentData[[#This Row],[TrendRisk]]</f>
        <v>0</v>
      </c>
      <c r="AO604" t="str">
        <f>IF(StudentData[[#This Row],[RiskIndex]]&lt;=30,"Low",IF(StudentData[[#This Row],[RiskIndex]]&lt;=60,"Medium","High"))</f>
        <v>Low</v>
      </c>
      <c r="AP604">
        <f>StudentData[[#This Row],[G3]]+('Intervention Simulator'!$C$2*1.5)</f>
        <v>13</v>
      </c>
      <c r="AQ604" t="str">
        <f>IF(StudentData[[#This Row],[ProjectedGrade]]&gt;=10,"Pass","Fail")</f>
        <v>Pass</v>
      </c>
    </row>
    <row r="605" spans="1:43" x14ac:dyDescent="0.3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  <c r="AH605" t="str">
        <f>IF(StudentData[[#This Row],[G3]]&gt;=10,"Pass","Fail")</f>
        <v>Fail</v>
      </c>
      <c r="AI605">
        <f>IF(StudentData[[#This Row],[G3]]&lt;StudentData[[#This Row],[G2]],1,0)</f>
        <v>0</v>
      </c>
      <c r="AJ605">
        <f>IF(StudentData[[#This Row],[failures]]&gt;=2,100,IF(StudentData[[#This Row],[failures]]=1,60,0))</f>
        <v>0</v>
      </c>
      <c r="AK605">
        <f>IF(StudentData[[#This Row],[absences]]&gt;15,80,IF(StudentData[[#This Row],[absences]]&gt;10,50,0))</f>
        <v>0</v>
      </c>
      <c r="AL605">
        <f>IF(StudentData[[#This Row],[studytime]]=1,70,IF(StudentData[[#This Row],[studytime]]=2,40,0))</f>
        <v>40</v>
      </c>
      <c r="AM605">
        <f>IF(StudentData[[#This Row],[GradeDrop]]=1,50,0)</f>
        <v>0</v>
      </c>
      <c r="AN605">
        <f>0.4*StudentData[[#This Row],[FailureScore]]+0.3*StudentData[[#This Row],[AbsenceScore]]+0.2*StudentData[[#This Row],[StudyRisk]]+0.1*StudentData[[#This Row],[TrendRisk]]</f>
        <v>8</v>
      </c>
      <c r="AO605" t="str">
        <f>IF(StudentData[[#This Row],[RiskIndex]]&lt;=30,"Low",IF(StudentData[[#This Row],[RiskIndex]]&lt;=60,"Medium","High"))</f>
        <v>Low</v>
      </c>
      <c r="AP605">
        <f>StudentData[[#This Row],[G3]]+('Intervention Simulator'!$C$2*1.5)</f>
        <v>0</v>
      </c>
      <c r="AQ605" t="str">
        <f>IF(StudentData[[#This Row],[ProjectedGrade]]&gt;=10,"Pass","Fail")</f>
        <v>Fail</v>
      </c>
    </row>
    <row r="606" spans="1:43" x14ac:dyDescent="0.3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  <c r="AH606" t="str">
        <f>IF(StudentData[[#This Row],[G3]]&gt;=10,"Pass","Fail")</f>
        <v>Pass</v>
      </c>
      <c r="AI606">
        <f>IF(StudentData[[#This Row],[G3]]&lt;StudentData[[#This Row],[G2]],1,0)</f>
        <v>0</v>
      </c>
      <c r="AJ606">
        <f>IF(StudentData[[#This Row],[failures]]&gt;=2,100,IF(StudentData[[#This Row],[failures]]=1,60,0))</f>
        <v>60</v>
      </c>
      <c r="AK606">
        <f>IF(StudentData[[#This Row],[absences]]&gt;15,80,IF(StudentData[[#This Row],[absences]]&gt;10,50,0))</f>
        <v>0</v>
      </c>
      <c r="AL606">
        <f>IF(StudentData[[#This Row],[studytime]]=1,70,IF(StudentData[[#This Row],[studytime]]=2,40,0))</f>
        <v>40</v>
      </c>
      <c r="AM606">
        <f>IF(StudentData[[#This Row],[GradeDrop]]=1,50,0)</f>
        <v>0</v>
      </c>
      <c r="AN606">
        <f>0.4*StudentData[[#This Row],[FailureScore]]+0.3*StudentData[[#This Row],[AbsenceScore]]+0.2*StudentData[[#This Row],[StudyRisk]]+0.1*StudentData[[#This Row],[TrendRisk]]</f>
        <v>32</v>
      </c>
      <c r="AO606" t="str">
        <f>IF(StudentData[[#This Row],[RiskIndex]]&lt;=30,"Low",IF(StudentData[[#This Row],[RiskIndex]]&lt;=60,"Medium","High"))</f>
        <v>Medium</v>
      </c>
      <c r="AP606">
        <f>StudentData[[#This Row],[G3]]+('Intervention Simulator'!$C$2*1.5)</f>
        <v>10</v>
      </c>
      <c r="AQ606" t="str">
        <f>IF(StudentData[[#This Row],[ProjectedGrade]]&gt;=10,"Pass","Fail")</f>
        <v>Pass</v>
      </c>
    </row>
    <row r="607" spans="1:43" x14ac:dyDescent="0.3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  <c r="AH607" t="str">
        <f>IF(StudentData[[#This Row],[G3]]&gt;=10,"Pass","Fail")</f>
        <v>Fail</v>
      </c>
      <c r="AI607">
        <f>IF(StudentData[[#This Row],[G3]]&lt;StudentData[[#This Row],[G2]],1,0)</f>
        <v>0</v>
      </c>
      <c r="AJ607">
        <f>IF(StudentData[[#This Row],[failures]]&gt;=2,100,IF(StudentData[[#This Row],[failures]]=1,60,0))</f>
        <v>60</v>
      </c>
      <c r="AK607">
        <f>IF(StudentData[[#This Row],[absences]]&gt;15,80,IF(StudentData[[#This Row],[absences]]&gt;10,50,0))</f>
        <v>0</v>
      </c>
      <c r="AL607">
        <f>IF(StudentData[[#This Row],[studytime]]=1,70,IF(StudentData[[#This Row],[studytime]]=2,40,0))</f>
        <v>70</v>
      </c>
      <c r="AM607">
        <f>IF(StudentData[[#This Row],[GradeDrop]]=1,50,0)</f>
        <v>0</v>
      </c>
      <c r="AN607">
        <f>0.4*StudentData[[#This Row],[FailureScore]]+0.3*StudentData[[#This Row],[AbsenceScore]]+0.2*StudentData[[#This Row],[StudyRisk]]+0.1*StudentData[[#This Row],[TrendRisk]]</f>
        <v>38</v>
      </c>
      <c r="AO607" t="str">
        <f>IF(StudentData[[#This Row],[RiskIndex]]&lt;=30,"Low",IF(StudentData[[#This Row],[RiskIndex]]&lt;=60,"Medium","High"))</f>
        <v>Medium</v>
      </c>
      <c r="AP607">
        <f>StudentData[[#This Row],[G3]]+('Intervention Simulator'!$C$2*1.5)</f>
        <v>0</v>
      </c>
      <c r="AQ607" t="str">
        <f>IF(StudentData[[#This Row],[ProjectedGrade]]&gt;=10,"Pass","Fail")</f>
        <v>Fail</v>
      </c>
    </row>
    <row r="608" spans="1:43" x14ac:dyDescent="0.3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  <c r="AH608" t="str">
        <f>IF(StudentData[[#This Row],[G3]]&gt;=10,"Pass","Fail")</f>
        <v>Pass</v>
      </c>
      <c r="AI608">
        <f>IF(StudentData[[#This Row],[G3]]&lt;StudentData[[#This Row],[G2]],1,0)</f>
        <v>0</v>
      </c>
      <c r="AJ608">
        <f>IF(StudentData[[#This Row],[failures]]&gt;=2,100,IF(StudentData[[#This Row],[failures]]=1,60,0))</f>
        <v>0</v>
      </c>
      <c r="AK608">
        <f>IF(StudentData[[#This Row],[absences]]&gt;15,80,IF(StudentData[[#This Row],[absences]]&gt;10,50,0))</f>
        <v>0</v>
      </c>
      <c r="AL608">
        <f>IF(StudentData[[#This Row],[studytime]]=1,70,IF(StudentData[[#This Row],[studytime]]=2,40,0))</f>
        <v>0</v>
      </c>
      <c r="AM608">
        <f>IF(StudentData[[#This Row],[GradeDrop]]=1,50,0)</f>
        <v>0</v>
      </c>
      <c r="AN608">
        <f>0.4*StudentData[[#This Row],[FailureScore]]+0.3*StudentData[[#This Row],[AbsenceScore]]+0.2*StudentData[[#This Row],[StudyRisk]]+0.1*StudentData[[#This Row],[TrendRisk]]</f>
        <v>0</v>
      </c>
      <c r="AO608" t="str">
        <f>IF(StudentData[[#This Row],[RiskIndex]]&lt;=30,"Low",IF(StudentData[[#This Row],[RiskIndex]]&lt;=60,"Medium","High"))</f>
        <v>Low</v>
      </c>
      <c r="AP608">
        <f>StudentData[[#This Row],[G3]]+('Intervention Simulator'!$C$2*1.5)</f>
        <v>18</v>
      </c>
      <c r="AQ608" t="str">
        <f>IF(StudentData[[#This Row],[ProjectedGrade]]&gt;=10,"Pass","Fail")</f>
        <v>Pass</v>
      </c>
    </row>
    <row r="609" spans="1:43" x14ac:dyDescent="0.3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  <c r="AH609" t="str">
        <f>IF(StudentData[[#This Row],[G3]]&gt;=10,"Pass","Fail")</f>
        <v>Pass</v>
      </c>
      <c r="AI609">
        <f>IF(StudentData[[#This Row],[G3]]&lt;StudentData[[#This Row],[G2]],1,0)</f>
        <v>0</v>
      </c>
      <c r="AJ609">
        <f>IF(StudentData[[#This Row],[failures]]&gt;=2,100,IF(StudentData[[#This Row],[failures]]=1,60,0))</f>
        <v>0</v>
      </c>
      <c r="AK609">
        <f>IF(StudentData[[#This Row],[absences]]&gt;15,80,IF(StudentData[[#This Row],[absences]]&gt;10,50,0))</f>
        <v>0</v>
      </c>
      <c r="AL609">
        <f>IF(StudentData[[#This Row],[studytime]]=1,70,IF(StudentData[[#This Row],[studytime]]=2,40,0))</f>
        <v>40</v>
      </c>
      <c r="AM609">
        <f>IF(StudentData[[#This Row],[GradeDrop]]=1,50,0)</f>
        <v>0</v>
      </c>
      <c r="AN609">
        <f>0.4*StudentData[[#This Row],[FailureScore]]+0.3*StudentData[[#This Row],[AbsenceScore]]+0.2*StudentData[[#This Row],[StudyRisk]]+0.1*StudentData[[#This Row],[TrendRisk]]</f>
        <v>8</v>
      </c>
      <c r="AO609" t="str">
        <f>IF(StudentData[[#This Row],[RiskIndex]]&lt;=30,"Low",IF(StudentData[[#This Row],[RiskIndex]]&lt;=60,"Medium","High"))</f>
        <v>Low</v>
      </c>
      <c r="AP609">
        <f>StudentData[[#This Row],[G3]]+('Intervention Simulator'!$C$2*1.5)</f>
        <v>12</v>
      </c>
      <c r="AQ609" t="str">
        <f>IF(StudentData[[#This Row],[ProjectedGrade]]&gt;=10,"Pass","Fail")</f>
        <v>Pass</v>
      </c>
    </row>
    <row r="610" spans="1:43" x14ac:dyDescent="0.3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  <c r="AH610" t="str">
        <f>IF(StudentData[[#This Row],[G3]]&gt;=10,"Pass","Fail")</f>
        <v>Pass</v>
      </c>
      <c r="AI610">
        <f>IF(StudentData[[#This Row],[G3]]&lt;StudentData[[#This Row],[G2]],1,0)</f>
        <v>0</v>
      </c>
      <c r="AJ610">
        <f>IF(StudentData[[#This Row],[failures]]&gt;=2,100,IF(StudentData[[#This Row],[failures]]=1,60,0))</f>
        <v>0</v>
      </c>
      <c r="AK610">
        <f>IF(StudentData[[#This Row],[absences]]&gt;15,80,IF(StudentData[[#This Row],[absences]]&gt;10,50,0))</f>
        <v>0</v>
      </c>
      <c r="AL610">
        <f>IF(StudentData[[#This Row],[studytime]]=1,70,IF(StudentData[[#This Row],[studytime]]=2,40,0))</f>
        <v>40</v>
      </c>
      <c r="AM610">
        <f>IF(StudentData[[#This Row],[GradeDrop]]=1,50,0)</f>
        <v>0</v>
      </c>
      <c r="AN610">
        <f>0.4*StudentData[[#This Row],[FailureScore]]+0.3*StudentData[[#This Row],[AbsenceScore]]+0.2*StudentData[[#This Row],[StudyRisk]]+0.1*StudentData[[#This Row],[TrendRisk]]</f>
        <v>8</v>
      </c>
      <c r="AO610" t="str">
        <f>IF(StudentData[[#This Row],[RiskIndex]]&lt;=30,"Low",IF(StudentData[[#This Row],[RiskIndex]]&lt;=60,"Medium","High"))</f>
        <v>Low</v>
      </c>
      <c r="AP610">
        <f>StudentData[[#This Row],[G3]]+('Intervention Simulator'!$C$2*1.5)</f>
        <v>11</v>
      </c>
      <c r="AQ610" t="str">
        <f>IF(StudentData[[#This Row],[ProjectedGrade]]&gt;=10,"Pass","Fail")</f>
        <v>Pass</v>
      </c>
    </row>
    <row r="611" spans="1:43" x14ac:dyDescent="0.3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  <c r="AH611" t="str">
        <f>IF(StudentData[[#This Row],[G3]]&gt;=10,"Pass","Fail")</f>
        <v>Pass</v>
      </c>
      <c r="AI611">
        <f>IF(StudentData[[#This Row],[G3]]&lt;StudentData[[#This Row],[G2]],1,0)</f>
        <v>0</v>
      </c>
      <c r="AJ611">
        <f>IF(StudentData[[#This Row],[failures]]&gt;=2,100,IF(StudentData[[#This Row],[failures]]=1,60,0))</f>
        <v>0</v>
      </c>
      <c r="AK611">
        <f>IF(StudentData[[#This Row],[absences]]&gt;15,80,IF(StudentData[[#This Row],[absences]]&gt;10,50,0))</f>
        <v>0</v>
      </c>
      <c r="AL611">
        <f>IF(StudentData[[#This Row],[studytime]]=1,70,IF(StudentData[[#This Row],[studytime]]=2,40,0))</f>
        <v>40</v>
      </c>
      <c r="AM611">
        <f>IF(StudentData[[#This Row],[GradeDrop]]=1,50,0)</f>
        <v>0</v>
      </c>
      <c r="AN611">
        <f>0.4*StudentData[[#This Row],[FailureScore]]+0.3*StudentData[[#This Row],[AbsenceScore]]+0.2*StudentData[[#This Row],[StudyRisk]]+0.1*StudentData[[#This Row],[TrendRisk]]</f>
        <v>8</v>
      </c>
      <c r="AO611" t="str">
        <f>IF(StudentData[[#This Row],[RiskIndex]]&lt;=30,"Low",IF(StudentData[[#This Row],[RiskIndex]]&lt;=60,"Medium","High"))</f>
        <v>Low</v>
      </c>
      <c r="AP611">
        <f>StudentData[[#This Row],[G3]]+('Intervention Simulator'!$C$2*1.5)</f>
        <v>12</v>
      </c>
      <c r="AQ611" t="str">
        <f>IF(StudentData[[#This Row],[ProjectedGrade]]&gt;=10,"Pass","Fail")</f>
        <v>Pass</v>
      </c>
    </row>
    <row r="612" spans="1:43" x14ac:dyDescent="0.3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  <c r="AH612" t="str">
        <f>IF(StudentData[[#This Row],[G3]]&gt;=10,"Pass","Fail")</f>
        <v>Fail</v>
      </c>
      <c r="AI612">
        <f>IF(StudentData[[#This Row],[G3]]&lt;StudentData[[#This Row],[G2]],1,0)</f>
        <v>0</v>
      </c>
      <c r="AJ612">
        <f>IF(StudentData[[#This Row],[failures]]&gt;=2,100,IF(StudentData[[#This Row],[failures]]=1,60,0))</f>
        <v>100</v>
      </c>
      <c r="AK612">
        <f>IF(StudentData[[#This Row],[absences]]&gt;15,80,IF(StudentData[[#This Row],[absences]]&gt;10,50,0))</f>
        <v>0</v>
      </c>
      <c r="AL612">
        <f>IF(StudentData[[#This Row],[studytime]]=1,70,IF(StudentData[[#This Row],[studytime]]=2,40,0))</f>
        <v>40</v>
      </c>
      <c r="AM612">
        <f>IF(StudentData[[#This Row],[GradeDrop]]=1,50,0)</f>
        <v>0</v>
      </c>
      <c r="AN612">
        <f>0.4*StudentData[[#This Row],[FailureScore]]+0.3*StudentData[[#This Row],[AbsenceScore]]+0.2*StudentData[[#This Row],[StudyRisk]]+0.1*StudentData[[#This Row],[TrendRisk]]</f>
        <v>48</v>
      </c>
      <c r="AO612" t="str">
        <f>IF(StudentData[[#This Row],[RiskIndex]]&lt;=30,"Low",IF(StudentData[[#This Row],[RiskIndex]]&lt;=60,"Medium","High"))</f>
        <v>Medium</v>
      </c>
      <c r="AP612">
        <f>StudentData[[#This Row],[G3]]+('Intervention Simulator'!$C$2*1.5)</f>
        <v>0</v>
      </c>
      <c r="AQ612" t="str">
        <f>IF(StudentData[[#This Row],[ProjectedGrade]]&gt;=10,"Pass","Fail")</f>
        <v>Fail</v>
      </c>
    </row>
    <row r="613" spans="1:43" x14ac:dyDescent="0.3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  <c r="AH613" t="str">
        <f>IF(StudentData[[#This Row],[G3]]&gt;=10,"Pass","Fail")</f>
        <v>Pass</v>
      </c>
      <c r="AI613">
        <f>IF(StudentData[[#This Row],[G3]]&lt;StudentData[[#This Row],[G2]],1,0)</f>
        <v>0</v>
      </c>
      <c r="AJ613">
        <f>IF(StudentData[[#This Row],[failures]]&gt;=2,100,IF(StudentData[[#This Row],[failures]]=1,60,0))</f>
        <v>0</v>
      </c>
      <c r="AK613">
        <f>IF(StudentData[[#This Row],[absences]]&gt;15,80,IF(StudentData[[#This Row],[absences]]&gt;10,50,0))</f>
        <v>0</v>
      </c>
      <c r="AL613">
        <f>IF(StudentData[[#This Row],[studytime]]=1,70,IF(StudentData[[#This Row],[studytime]]=2,40,0))</f>
        <v>0</v>
      </c>
      <c r="AM613">
        <f>IF(StudentData[[#This Row],[GradeDrop]]=1,50,0)</f>
        <v>0</v>
      </c>
      <c r="AN613">
        <f>0.4*StudentData[[#This Row],[FailureScore]]+0.3*StudentData[[#This Row],[AbsenceScore]]+0.2*StudentData[[#This Row],[StudyRisk]]+0.1*StudentData[[#This Row],[TrendRisk]]</f>
        <v>0</v>
      </c>
      <c r="AO613" t="str">
        <f>IF(StudentData[[#This Row],[RiskIndex]]&lt;=30,"Low",IF(StudentData[[#This Row],[RiskIndex]]&lt;=60,"Medium","High"))</f>
        <v>Low</v>
      </c>
      <c r="AP613">
        <f>StudentData[[#This Row],[G3]]+('Intervention Simulator'!$C$2*1.5)</f>
        <v>15</v>
      </c>
      <c r="AQ613" t="str">
        <f>IF(StudentData[[#This Row],[ProjectedGrade]]&gt;=10,"Pass","Fail")</f>
        <v>Pass</v>
      </c>
    </row>
    <row r="614" spans="1:43" x14ac:dyDescent="0.3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  <c r="AH614" t="str">
        <f>IF(StudentData[[#This Row],[G3]]&gt;=10,"Pass","Fail")</f>
        <v>Pass</v>
      </c>
      <c r="AI614">
        <f>IF(StudentData[[#This Row],[G3]]&lt;StudentData[[#This Row],[G2]],1,0)</f>
        <v>0</v>
      </c>
      <c r="AJ614">
        <f>IF(StudentData[[#This Row],[failures]]&gt;=2,100,IF(StudentData[[#This Row],[failures]]=1,60,0))</f>
        <v>60</v>
      </c>
      <c r="AK614">
        <f>IF(StudentData[[#This Row],[absences]]&gt;15,80,IF(StudentData[[#This Row],[absences]]&gt;10,50,0))</f>
        <v>0</v>
      </c>
      <c r="AL614">
        <f>IF(StudentData[[#This Row],[studytime]]=1,70,IF(StudentData[[#This Row],[studytime]]=2,40,0))</f>
        <v>40</v>
      </c>
      <c r="AM614">
        <f>IF(StudentData[[#This Row],[GradeDrop]]=1,50,0)</f>
        <v>0</v>
      </c>
      <c r="AN614">
        <f>0.4*StudentData[[#This Row],[FailureScore]]+0.3*StudentData[[#This Row],[AbsenceScore]]+0.2*StudentData[[#This Row],[StudyRisk]]+0.1*StudentData[[#This Row],[TrendRisk]]</f>
        <v>32</v>
      </c>
      <c r="AO614" t="str">
        <f>IF(StudentData[[#This Row],[RiskIndex]]&lt;=30,"Low",IF(StudentData[[#This Row],[RiskIndex]]&lt;=60,"Medium","High"))</f>
        <v>Medium</v>
      </c>
      <c r="AP614">
        <f>StudentData[[#This Row],[G3]]+('Intervention Simulator'!$C$2*1.5)</f>
        <v>11</v>
      </c>
      <c r="AQ614" t="str">
        <f>IF(StudentData[[#This Row],[ProjectedGrade]]&gt;=10,"Pass","Fail")</f>
        <v>Pass</v>
      </c>
    </row>
    <row r="615" spans="1:43" x14ac:dyDescent="0.3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  <c r="AH615" t="str">
        <f>IF(StudentData[[#This Row],[G3]]&gt;=10,"Pass","Fail")</f>
        <v>Pass</v>
      </c>
      <c r="AI615">
        <f>IF(StudentData[[#This Row],[G3]]&lt;StudentData[[#This Row],[G2]],1,0)</f>
        <v>0</v>
      </c>
      <c r="AJ615">
        <f>IF(StudentData[[#This Row],[failures]]&gt;=2,100,IF(StudentData[[#This Row],[failures]]=1,60,0))</f>
        <v>0</v>
      </c>
      <c r="AK615">
        <f>IF(StudentData[[#This Row],[absences]]&gt;15,80,IF(StudentData[[#This Row],[absences]]&gt;10,50,0))</f>
        <v>0</v>
      </c>
      <c r="AL615">
        <f>IF(StudentData[[#This Row],[studytime]]=1,70,IF(StudentData[[#This Row],[studytime]]=2,40,0))</f>
        <v>40</v>
      </c>
      <c r="AM615">
        <f>IF(StudentData[[#This Row],[GradeDrop]]=1,50,0)</f>
        <v>0</v>
      </c>
      <c r="AN615">
        <f>0.4*StudentData[[#This Row],[FailureScore]]+0.3*StudentData[[#This Row],[AbsenceScore]]+0.2*StudentData[[#This Row],[StudyRisk]]+0.1*StudentData[[#This Row],[TrendRisk]]</f>
        <v>8</v>
      </c>
      <c r="AO615" t="str">
        <f>IF(StudentData[[#This Row],[RiskIndex]]&lt;=30,"Low",IF(StudentData[[#This Row],[RiskIndex]]&lt;=60,"Medium","High"))</f>
        <v>Low</v>
      </c>
      <c r="AP615">
        <f>StudentData[[#This Row],[G3]]+('Intervention Simulator'!$C$2*1.5)</f>
        <v>10</v>
      </c>
      <c r="AQ615" t="str">
        <f>IF(StudentData[[#This Row],[ProjectedGrade]]&gt;=10,"Pass","Fail")</f>
        <v>Pass</v>
      </c>
    </row>
    <row r="616" spans="1:43" x14ac:dyDescent="0.3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  <c r="AH616" t="str">
        <f>IF(StudentData[[#This Row],[G3]]&gt;=10,"Pass","Fail")</f>
        <v>Pass</v>
      </c>
      <c r="AI616">
        <f>IF(StudentData[[#This Row],[G3]]&lt;StudentData[[#This Row],[G2]],1,0)</f>
        <v>0</v>
      </c>
      <c r="AJ616">
        <f>IF(StudentData[[#This Row],[failures]]&gt;=2,100,IF(StudentData[[#This Row],[failures]]=1,60,0))</f>
        <v>0</v>
      </c>
      <c r="AK616">
        <f>IF(StudentData[[#This Row],[absences]]&gt;15,80,IF(StudentData[[#This Row],[absences]]&gt;10,50,0))</f>
        <v>0</v>
      </c>
      <c r="AL616">
        <f>IF(StudentData[[#This Row],[studytime]]=1,70,IF(StudentData[[#This Row],[studytime]]=2,40,0))</f>
        <v>40</v>
      </c>
      <c r="AM616">
        <f>IF(StudentData[[#This Row],[GradeDrop]]=1,50,0)</f>
        <v>0</v>
      </c>
      <c r="AN616">
        <f>0.4*StudentData[[#This Row],[FailureScore]]+0.3*StudentData[[#This Row],[AbsenceScore]]+0.2*StudentData[[#This Row],[StudyRisk]]+0.1*StudentData[[#This Row],[TrendRisk]]</f>
        <v>8</v>
      </c>
      <c r="AO616" t="str">
        <f>IF(StudentData[[#This Row],[RiskIndex]]&lt;=30,"Low",IF(StudentData[[#This Row],[RiskIndex]]&lt;=60,"Medium","High"))</f>
        <v>Low</v>
      </c>
      <c r="AP616">
        <f>StudentData[[#This Row],[G3]]+('Intervention Simulator'!$C$2*1.5)</f>
        <v>12</v>
      </c>
      <c r="AQ616" t="str">
        <f>IF(StudentData[[#This Row],[ProjectedGrade]]&gt;=10,"Pass","Fail")</f>
        <v>Pass</v>
      </c>
    </row>
    <row r="617" spans="1:43" x14ac:dyDescent="0.3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  <c r="AH617" t="str">
        <f>IF(StudentData[[#This Row],[G3]]&gt;=10,"Pass","Fail")</f>
        <v>Pass</v>
      </c>
      <c r="AI617">
        <f>IF(StudentData[[#This Row],[G3]]&lt;StudentData[[#This Row],[G2]],1,0)</f>
        <v>0</v>
      </c>
      <c r="AJ617">
        <f>IF(StudentData[[#This Row],[failures]]&gt;=2,100,IF(StudentData[[#This Row],[failures]]=1,60,0))</f>
        <v>0</v>
      </c>
      <c r="AK617">
        <f>IF(StudentData[[#This Row],[absences]]&gt;15,80,IF(StudentData[[#This Row],[absences]]&gt;10,50,0))</f>
        <v>0</v>
      </c>
      <c r="AL617">
        <f>IF(StudentData[[#This Row],[studytime]]=1,70,IF(StudentData[[#This Row],[studytime]]=2,40,0))</f>
        <v>40</v>
      </c>
      <c r="AM617">
        <f>IF(StudentData[[#This Row],[GradeDrop]]=1,50,0)</f>
        <v>0</v>
      </c>
      <c r="AN617">
        <f>0.4*StudentData[[#This Row],[FailureScore]]+0.3*StudentData[[#This Row],[AbsenceScore]]+0.2*StudentData[[#This Row],[StudyRisk]]+0.1*StudentData[[#This Row],[TrendRisk]]</f>
        <v>8</v>
      </c>
      <c r="AO617" t="str">
        <f>IF(StudentData[[#This Row],[RiskIndex]]&lt;=30,"Low",IF(StudentData[[#This Row],[RiskIndex]]&lt;=60,"Medium","High"))</f>
        <v>Low</v>
      </c>
      <c r="AP617">
        <f>StudentData[[#This Row],[G3]]+('Intervention Simulator'!$C$2*1.5)</f>
        <v>15</v>
      </c>
      <c r="AQ617" t="str">
        <f>IF(StudentData[[#This Row],[ProjectedGrade]]&gt;=10,"Pass","Fail")</f>
        <v>Pass</v>
      </c>
    </row>
    <row r="618" spans="1:43" x14ac:dyDescent="0.3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  <c r="AH618" t="str">
        <f>IF(StudentData[[#This Row],[G3]]&gt;=10,"Pass","Fail")</f>
        <v>Pass</v>
      </c>
      <c r="AI618">
        <f>IF(StudentData[[#This Row],[G3]]&lt;StudentData[[#This Row],[G2]],1,0)</f>
        <v>0</v>
      </c>
      <c r="AJ618">
        <f>IF(StudentData[[#This Row],[failures]]&gt;=2,100,IF(StudentData[[#This Row],[failures]]=1,60,0))</f>
        <v>0</v>
      </c>
      <c r="AK618">
        <f>IF(StudentData[[#This Row],[absences]]&gt;15,80,IF(StudentData[[#This Row],[absences]]&gt;10,50,0))</f>
        <v>0</v>
      </c>
      <c r="AL618">
        <f>IF(StudentData[[#This Row],[studytime]]=1,70,IF(StudentData[[#This Row],[studytime]]=2,40,0))</f>
        <v>70</v>
      </c>
      <c r="AM618">
        <f>IF(StudentData[[#This Row],[GradeDrop]]=1,50,0)</f>
        <v>0</v>
      </c>
      <c r="AN618">
        <f>0.4*StudentData[[#This Row],[FailureScore]]+0.3*StudentData[[#This Row],[AbsenceScore]]+0.2*StudentData[[#This Row],[StudyRisk]]+0.1*StudentData[[#This Row],[TrendRisk]]</f>
        <v>14</v>
      </c>
      <c r="AO618" t="str">
        <f>IF(StudentData[[#This Row],[RiskIndex]]&lt;=30,"Low",IF(StudentData[[#This Row],[RiskIndex]]&lt;=60,"Medium","High"))</f>
        <v>Low</v>
      </c>
      <c r="AP618">
        <f>StudentData[[#This Row],[G3]]+('Intervention Simulator'!$C$2*1.5)</f>
        <v>14</v>
      </c>
      <c r="AQ618" t="str">
        <f>IF(StudentData[[#This Row],[ProjectedGrade]]&gt;=10,"Pass","Fail")</f>
        <v>Pass</v>
      </c>
    </row>
    <row r="619" spans="1:43" x14ac:dyDescent="0.3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  <c r="AH619" t="str">
        <f>IF(StudentData[[#This Row],[G3]]&gt;=10,"Pass","Fail")</f>
        <v>Pass</v>
      </c>
      <c r="AI619">
        <f>IF(StudentData[[#This Row],[G3]]&lt;StudentData[[#This Row],[G2]],1,0)</f>
        <v>0</v>
      </c>
      <c r="AJ619">
        <f>IF(StudentData[[#This Row],[failures]]&gt;=2,100,IF(StudentData[[#This Row],[failures]]=1,60,0))</f>
        <v>0</v>
      </c>
      <c r="AK619">
        <f>IF(StudentData[[#This Row],[absences]]&gt;15,80,IF(StudentData[[#This Row],[absences]]&gt;10,50,0))</f>
        <v>0</v>
      </c>
      <c r="AL619">
        <f>IF(StudentData[[#This Row],[studytime]]=1,70,IF(StudentData[[#This Row],[studytime]]=2,40,0))</f>
        <v>0</v>
      </c>
      <c r="AM619">
        <f>IF(StudentData[[#This Row],[GradeDrop]]=1,50,0)</f>
        <v>0</v>
      </c>
      <c r="AN619">
        <f>0.4*StudentData[[#This Row],[FailureScore]]+0.3*StudentData[[#This Row],[AbsenceScore]]+0.2*StudentData[[#This Row],[StudyRisk]]+0.1*StudentData[[#This Row],[TrendRisk]]</f>
        <v>0</v>
      </c>
      <c r="AO619" t="str">
        <f>IF(StudentData[[#This Row],[RiskIndex]]&lt;=30,"Low",IF(StudentData[[#This Row],[RiskIndex]]&lt;=60,"Medium","High"))</f>
        <v>Low</v>
      </c>
      <c r="AP619">
        <f>StudentData[[#This Row],[G3]]+('Intervention Simulator'!$C$2*1.5)</f>
        <v>18</v>
      </c>
      <c r="AQ619" t="str">
        <f>IF(StudentData[[#This Row],[ProjectedGrade]]&gt;=10,"Pass","Fail")</f>
        <v>Pass</v>
      </c>
    </row>
    <row r="620" spans="1:43" x14ac:dyDescent="0.3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  <c r="AH620" t="str">
        <f>IF(StudentData[[#This Row],[G3]]&gt;=10,"Pass","Fail")</f>
        <v>Pass</v>
      </c>
      <c r="AI620">
        <f>IF(StudentData[[#This Row],[G3]]&lt;StudentData[[#This Row],[G2]],1,0)</f>
        <v>0</v>
      </c>
      <c r="AJ620">
        <f>IF(StudentData[[#This Row],[failures]]&gt;=2,100,IF(StudentData[[#This Row],[failures]]=1,60,0))</f>
        <v>0</v>
      </c>
      <c r="AK620">
        <f>IF(StudentData[[#This Row],[absences]]&gt;15,80,IF(StudentData[[#This Row],[absences]]&gt;10,50,0))</f>
        <v>0</v>
      </c>
      <c r="AL620">
        <f>IF(StudentData[[#This Row],[studytime]]=1,70,IF(StudentData[[#This Row],[studytime]]=2,40,0))</f>
        <v>40</v>
      </c>
      <c r="AM620">
        <f>IF(StudentData[[#This Row],[GradeDrop]]=1,50,0)</f>
        <v>0</v>
      </c>
      <c r="AN620">
        <f>0.4*StudentData[[#This Row],[FailureScore]]+0.3*StudentData[[#This Row],[AbsenceScore]]+0.2*StudentData[[#This Row],[StudyRisk]]+0.1*StudentData[[#This Row],[TrendRisk]]</f>
        <v>8</v>
      </c>
      <c r="AO620" t="str">
        <f>IF(StudentData[[#This Row],[RiskIndex]]&lt;=30,"Low",IF(StudentData[[#This Row],[RiskIndex]]&lt;=60,"Medium","High"))</f>
        <v>Low</v>
      </c>
      <c r="AP620">
        <f>StudentData[[#This Row],[G3]]+('Intervention Simulator'!$C$2*1.5)</f>
        <v>15</v>
      </c>
      <c r="AQ620" t="str">
        <f>IF(StudentData[[#This Row],[ProjectedGrade]]&gt;=10,"Pass","Fail")</f>
        <v>Pass</v>
      </c>
    </row>
    <row r="621" spans="1:43" x14ac:dyDescent="0.3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  <c r="AH621" t="str">
        <f>IF(StudentData[[#This Row],[G3]]&gt;=10,"Pass","Fail")</f>
        <v>Pass</v>
      </c>
      <c r="AI621">
        <f>IF(StudentData[[#This Row],[G3]]&lt;StudentData[[#This Row],[G2]],1,0)</f>
        <v>0</v>
      </c>
      <c r="AJ621">
        <f>IF(StudentData[[#This Row],[failures]]&gt;=2,100,IF(StudentData[[#This Row],[failures]]=1,60,0))</f>
        <v>0</v>
      </c>
      <c r="AK621">
        <f>IF(StudentData[[#This Row],[absences]]&gt;15,80,IF(StudentData[[#This Row],[absences]]&gt;10,50,0))</f>
        <v>0</v>
      </c>
      <c r="AL621">
        <f>IF(StudentData[[#This Row],[studytime]]=1,70,IF(StudentData[[#This Row],[studytime]]=2,40,0))</f>
        <v>40</v>
      </c>
      <c r="AM621">
        <f>IF(StudentData[[#This Row],[GradeDrop]]=1,50,0)</f>
        <v>0</v>
      </c>
      <c r="AN621">
        <f>0.4*StudentData[[#This Row],[FailureScore]]+0.3*StudentData[[#This Row],[AbsenceScore]]+0.2*StudentData[[#This Row],[StudyRisk]]+0.1*StudentData[[#This Row],[TrendRisk]]</f>
        <v>8</v>
      </c>
      <c r="AO621" t="str">
        <f>IF(StudentData[[#This Row],[RiskIndex]]&lt;=30,"Low",IF(StudentData[[#This Row],[RiskIndex]]&lt;=60,"Medium","High"))</f>
        <v>Low</v>
      </c>
      <c r="AP621">
        <f>StudentData[[#This Row],[G3]]+('Intervention Simulator'!$C$2*1.5)</f>
        <v>13</v>
      </c>
      <c r="AQ621" t="str">
        <f>IF(StudentData[[#This Row],[ProjectedGrade]]&gt;=10,"Pass","Fail")</f>
        <v>Pass</v>
      </c>
    </row>
    <row r="622" spans="1:43" x14ac:dyDescent="0.3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  <c r="AH622" t="str">
        <f>IF(StudentData[[#This Row],[G3]]&gt;=10,"Pass","Fail")</f>
        <v>Pass</v>
      </c>
      <c r="AI622">
        <f>IF(StudentData[[#This Row],[G3]]&lt;StudentData[[#This Row],[G2]],1,0)</f>
        <v>0</v>
      </c>
      <c r="AJ622">
        <f>IF(StudentData[[#This Row],[failures]]&gt;=2,100,IF(StudentData[[#This Row],[failures]]=1,60,0))</f>
        <v>0</v>
      </c>
      <c r="AK622">
        <f>IF(StudentData[[#This Row],[absences]]&gt;15,80,IF(StudentData[[#This Row],[absences]]&gt;10,50,0))</f>
        <v>0</v>
      </c>
      <c r="AL622">
        <f>IF(StudentData[[#This Row],[studytime]]=1,70,IF(StudentData[[#This Row],[studytime]]=2,40,0))</f>
        <v>40</v>
      </c>
      <c r="AM622">
        <f>IF(StudentData[[#This Row],[GradeDrop]]=1,50,0)</f>
        <v>0</v>
      </c>
      <c r="AN622">
        <f>0.4*StudentData[[#This Row],[FailureScore]]+0.3*StudentData[[#This Row],[AbsenceScore]]+0.2*StudentData[[#This Row],[StudyRisk]]+0.1*StudentData[[#This Row],[TrendRisk]]</f>
        <v>8</v>
      </c>
      <c r="AO622" t="str">
        <f>IF(StudentData[[#This Row],[RiskIndex]]&lt;=30,"Low",IF(StudentData[[#This Row],[RiskIndex]]&lt;=60,"Medium","High"))</f>
        <v>Low</v>
      </c>
      <c r="AP622">
        <f>StudentData[[#This Row],[G3]]+('Intervention Simulator'!$C$2*1.5)</f>
        <v>15</v>
      </c>
      <c r="AQ622" t="str">
        <f>IF(StudentData[[#This Row],[ProjectedGrade]]&gt;=10,"Pass","Fail")</f>
        <v>Pass</v>
      </c>
    </row>
    <row r="623" spans="1:43" x14ac:dyDescent="0.3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  <c r="AH623" t="str">
        <f>IF(StudentData[[#This Row],[G3]]&gt;=10,"Pass","Fail")</f>
        <v>Pass</v>
      </c>
      <c r="AI623">
        <f>IF(StudentData[[#This Row],[G3]]&lt;StudentData[[#This Row],[G2]],1,0)</f>
        <v>0</v>
      </c>
      <c r="AJ623">
        <f>IF(StudentData[[#This Row],[failures]]&gt;=2,100,IF(StudentData[[#This Row],[failures]]=1,60,0))</f>
        <v>0</v>
      </c>
      <c r="AK623">
        <f>IF(StudentData[[#This Row],[absences]]&gt;15,80,IF(StudentData[[#This Row],[absences]]&gt;10,50,0))</f>
        <v>0</v>
      </c>
      <c r="AL623">
        <f>IF(StudentData[[#This Row],[studytime]]=1,70,IF(StudentData[[#This Row],[studytime]]=2,40,0))</f>
        <v>40</v>
      </c>
      <c r="AM623">
        <f>IF(StudentData[[#This Row],[GradeDrop]]=1,50,0)</f>
        <v>0</v>
      </c>
      <c r="AN623">
        <f>0.4*StudentData[[#This Row],[FailureScore]]+0.3*StudentData[[#This Row],[AbsenceScore]]+0.2*StudentData[[#This Row],[StudyRisk]]+0.1*StudentData[[#This Row],[TrendRisk]]</f>
        <v>8</v>
      </c>
      <c r="AO623" t="str">
        <f>IF(StudentData[[#This Row],[RiskIndex]]&lt;=30,"Low",IF(StudentData[[#This Row],[RiskIndex]]&lt;=60,"Medium","High"))</f>
        <v>Low</v>
      </c>
      <c r="AP623">
        <f>StudentData[[#This Row],[G3]]+('Intervention Simulator'!$C$2*1.5)</f>
        <v>13</v>
      </c>
      <c r="AQ623" t="str">
        <f>IF(StudentData[[#This Row],[ProjectedGrade]]&gt;=10,"Pass","Fail")</f>
        <v>Pass</v>
      </c>
    </row>
    <row r="624" spans="1:43" x14ac:dyDescent="0.3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  <c r="AH624" t="str">
        <f>IF(StudentData[[#This Row],[G3]]&gt;=10,"Pass","Fail")</f>
        <v>Fail</v>
      </c>
      <c r="AI624">
        <f>IF(StudentData[[#This Row],[G3]]&lt;StudentData[[#This Row],[G2]],1,0)</f>
        <v>1</v>
      </c>
      <c r="AJ624">
        <f>IF(StudentData[[#This Row],[failures]]&gt;=2,100,IF(StudentData[[#This Row],[failures]]=1,60,0))</f>
        <v>0</v>
      </c>
      <c r="AK624">
        <f>IF(StudentData[[#This Row],[absences]]&gt;15,80,IF(StudentData[[#This Row],[absences]]&gt;10,50,0))</f>
        <v>0</v>
      </c>
      <c r="AL624">
        <f>IF(StudentData[[#This Row],[studytime]]=1,70,IF(StudentData[[#This Row],[studytime]]=2,40,0))</f>
        <v>40</v>
      </c>
      <c r="AM624">
        <f>IF(StudentData[[#This Row],[GradeDrop]]=1,50,0)</f>
        <v>50</v>
      </c>
      <c r="AN624">
        <f>0.4*StudentData[[#This Row],[FailureScore]]+0.3*StudentData[[#This Row],[AbsenceScore]]+0.2*StudentData[[#This Row],[StudyRisk]]+0.1*StudentData[[#This Row],[TrendRisk]]</f>
        <v>13</v>
      </c>
      <c r="AO624" t="str">
        <f>IF(StudentData[[#This Row],[RiskIndex]]&lt;=30,"Low",IF(StudentData[[#This Row],[RiskIndex]]&lt;=60,"Medium","High"))</f>
        <v>Low</v>
      </c>
      <c r="AP624">
        <f>StudentData[[#This Row],[G3]]+('Intervention Simulator'!$C$2*1.5)</f>
        <v>9</v>
      </c>
      <c r="AQ624" t="str">
        <f>IF(StudentData[[#This Row],[ProjectedGrade]]&gt;=10,"Pass","Fail")</f>
        <v>Fail</v>
      </c>
    </row>
    <row r="625" spans="1:43" x14ac:dyDescent="0.3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  <c r="AH625" t="str">
        <f>IF(StudentData[[#This Row],[G3]]&gt;=10,"Pass","Fail")</f>
        <v>Pass</v>
      </c>
      <c r="AI625">
        <f>IF(StudentData[[#This Row],[G3]]&lt;StudentData[[#This Row],[G2]],1,0)</f>
        <v>0</v>
      </c>
      <c r="AJ625">
        <f>IF(StudentData[[#This Row],[failures]]&gt;=2,100,IF(StudentData[[#This Row],[failures]]=1,60,0))</f>
        <v>0</v>
      </c>
      <c r="AK625">
        <f>IF(StudentData[[#This Row],[absences]]&gt;15,80,IF(StudentData[[#This Row],[absences]]&gt;10,50,0))</f>
        <v>0</v>
      </c>
      <c r="AL625">
        <f>IF(StudentData[[#This Row],[studytime]]=1,70,IF(StudentData[[#This Row],[studytime]]=2,40,0))</f>
        <v>0</v>
      </c>
      <c r="AM625">
        <f>IF(StudentData[[#This Row],[GradeDrop]]=1,50,0)</f>
        <v>0</v>
      </c>
      <c r="AN625">
        <f>0.4*StudentData[[#This Row],[FailureScore]]+0.3*StudentData[[#This Row],[AbsenceScore]]+0.2*StudentData[[#This Row],[StudyRisk]]+0.1*StudentData[[#This Row],[TrendRisk]]</f>
        <v>0</v>
      </c>
      <c r="AO625" t="str">
        <f>IF(StudentData[[#This Row],[RiskIndex]]&lt;=30,"Low",IF(StudentData[[#This Row],[RiskIndex]]&lt;=60,"Medium","High"))</f>
        <v>Low</v>
      </c>
      <c r="AP625">
        <f>StudentData[[#This Row],[G3]]+('Intervention Simulator'!$C$2*1.5)</f>
        <v>16</v>
      </c>
      <c r="AQ625" t="str">
        <f>IF(StudentData[[#This Row],[ProjectedGrade]]&gt;=10,"Pass","Fail")</f>
        <v>Pass</v>
      </c>
    </row>
    <row r="626" spans="1:43" x14ac:dyDescent="0.3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  <c r="AH626" t="str">
        <f>IF(StudentData[[#This Row],[G3]]&gt;=10,"Pass","Fail")</f>
        <v>Fail</v>
      </c>
      <c r="AI626">
        <f>IF(StudentData[[#This Row],[G3]]&lt;StudentData[[#This Row],[G2]],1,0)</f>
        <v>0</v>
      </c>
      <c r="AJ626">
        <f>IF(StudentData[[#This Row],[failures]]&gt;=2,100,IF(StudentData[[#This Row],[failures]]=1,60,0))</f>
        <v>60</v>
      </c>
      <c r="AK626">
        <f>IF(StudentData[[#This Row],[absences]]&gt;15,80,IF(StudentData[[#This Row],[absences]]&gt;10,50,0))</f>
        <v>0</v>
      </c>
      <c r="AL626">
        <f>IF(StudentData[[#This Row],[studytime]]=1,70,IF(StudentData[[#This Row],[studytime]]=2,40,0))</f>
        <v>70</v>
      </c>
      <c r="AM626">
        <f>IF(StudentData[[#This Row],[GradeDrop]]=1,50,0)</f>
        <v>0</v>
      </c>
      <c r="AN626">
        <f>0.4*StudentData[[#This Row],[FailureScore]]+0.3*StudentData[[#This Row],[AbsenceScore]]+0.2*StudentData[[#This Row],[StudyRisk]]+0.1*StudentData[[#This Row],[TrendRisk]]</f>
        <v>38</v>
      </c>
      <c r="AO626" t="str">
        <f>IF(StudentData[[#This Row],[RiskIndex]]&lt;=30,"Low",IF(StudentData[[#This Row],[RiskIndex]]&lt;=60,"Medium","High"))</f>
        <v>Medium</v>
      </c>
      <c r="AP626">
        <f>StudentData[[#This Row],[G3]]+('Intervention Simulator'!$C$2*1.5)</f>
        <v>9</v>
      </c>
      <c r="AQ626" t="str">
        <f>IF(StudentData[[#This Row],[ProjectedGrade]]&gt;=10,"Pass","Fail")</f>
        <v>Fail</v>
      </c>
    </row>
    <row r="627" spans="1:43" x14ac:dyDescent="0.3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  <c r="AH627" t="str">
        <f>IF(StudentData[[#This Row],[G3]]&gt;=10,"Pass","Fail")</f>
        <v>Pass</v>
      </c>
      <c r="AI627">
        <f>IF(StudentData[[#This Row],[G3]]&lt;StudentData[[#This Row],[G2]],1,0)</f>
        <v>0</v>
      </c>
      <c r="AJ627">
        <f>IF(StudentData[[#This Row],[failures]]&gt;=2,100,IF(StudentData[[#This Row],[failures]]=1,60,0))</f>
        <v>0</v>
      </c>
      <c r="AK627">
        <f>IF(StudentData[[#This Row],[absences]]&gt;15,80,IF(StudentData[[#This Row],[absences]]&gt;10,50,0))</f>
        <v>0</v>
      </c>
      <c r="AL627">
        <f>IF(StudentData[[#This Row],[studytime]]=1,70,IF(StudentData[[#This Row],[studytime]]=2,40,0))</f>
        <v>70</v>
      </c>
      <c r="AM627">
        <f>IF(StudentData[[#This Row],[GradeDrop]]=1,50,0)</f>
        <v>0</v>
      </c>
      <c r="AN627">
        <f>0.4*StudentData[[#This Row],[FailureScore]]+0.3*StudentData[[#This Row],[AbsenceScore]]+0.2*StudentData[[#This Row],[StudyRisk]]+0.1*StudentData[[#This Row],[TrendRisk]]</f>
        <v>14</v>
      </c>
      <c r="AO627" t="str">
        <f>IF(StudentData[[#This Row],[RiskIndex]]&lt;=30,"Low",IF(StudentData[[#This Row],[RiskIndex]]&lt;=60,"Medium","High"))</f>
        <v>Low</v>
      </c>
      <c r="AP627">
        <f>StudentData[[#This Row],[G3]]+('Intervention Simulator'!$C$2*1.5)</f>
        <v>10</v>
      </c>
      <c r="AQ627" t="str">
        <f>IF(StudentData[[#This Row],[ProjectedGrade]]&gt;=10,"Pass","Fail")</f>
        <v>Pass</v>
      </c>
    </row>
    <row r="628" spans="1:43" x14ac:dyDescent="0.3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  <c r="AH628" t="str">
        <f>IF(StudentData[[#This Row],[G3]]&gt;=10,"Pass","Fail")</f>
        <v>Fail</v>
      </c>
      <c r="AI628">
        <f>IF(StudentData[[#This Row],[G3]]&lt;StudentData[[#This Row],[G2]],1,0)</f>
        <v>1</v>
      </c>
      <c r="AJ628">
        <f>IF(StudentData[[#This Row],[failures]]&gt;=2,100,IF(StudentData[[#This Row],[failures]]=1,60,0))</f>
        <v>0</v>
      </c>
      <c r="AK628">
        <f>IF(StudentData[[#This Row],[absences]]&gt;15,80,IF(StudentData[[#This Row],[absences]]&gt;10,50,0))</f>
        <v>0</v>
      </c>
      <c r="AL628">
        <f>IF(StudentData[[#This Row],[studytime]]=1,70,IF(StudentData[[#This Row],[studytime]]=2,40,0))</f>
        <v>40</v>
      </c>
      <c r="AM628">
        <f>IF(StudentData[[#This Row],[GradeDrop]]=1,50,0)</f>
        <v>50</v>
      </c>
      <c r="AN628">
        <f>0.4*StudentData[[#This Row],[FailureScore]]+0.3*StudentData[[#This Row],[AbsenceScore]]+0.2*StudentData[[#This Row],[StudyRisk]]+0.1*StudentData[[#This Row],[TrendRisk]]</f>
        <v>13</v>
      </c>
      <c r="AO628" t="str">
        <f>IF(StudentData[[#This Row],[RiskIndex]]&lt;=30,"Low",IF(StudentData[[#This Row],[RiskIndex]]&lt;=60,"Medium","High"))</f>
        <v>Low</v>
      </c>
      <c r="AP628">
        <f>StudentData[[#This Row],[G3]]+('Intervention Simulator'!$C$2*1.5)</f>
        <v>0</v>
      </c>
      <c r="AQ628" t="str">
        <f>IF(StudentData[[#This Row],[ProjectedGrade]]&gt;=10,"Pass","Fail")</f>
        <v>Fail</v>
      </c>
    </row>
    <row r="629" spans="1:43" x14ac:dyDescent="0.3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  <c r="AH629" t="str">
        <f>IF(StudentData[[#This Row],[G3]]&gt;=10,"Pass","Fail")</f>
        <v>Pass</v>
      </c>
      <c r="AI629">
        <f>IF(StudentData[[#This Row],[G3]]&lt;StudentData[[#This Row],[G2]],1,0)</f>
        <v>0</v>
      </c>
      <c r="AJ629">
        <f>IF(StudentData[[#This Row],[failures]]&gt;=2,100,IF(StudentData[[#This Row],[failures]]=1,60,0))</f>
        <v>0</v>
      </c>
      <c r="AK629">
        <f>IF(StudentData[[#This Row],[absences]]&gt;15,80,IF(StudentData[[#This Row],[absences]]&gt;10,50,0))</f>
        <v>0</v>
      </c>
      <c r="AL629">
        <f>IF(StudentData[[#This Row],[studytime]]=1,70,IF(StudentData[[#This Row],[studytime]]=2,40,0))</f>
        <v>70</v>
      </c>
      <c r="AM629">
        <f>IF(StudentData[[#This Row],[GradeDrop]]=1,50,0)</f>
        <v>0</v>
      </c>
      <c r="AN629">
        <f>0.4*StudentData[[#This Row],[FailureScore]]+0.3*StudentData[[#This Row],[AbsenceScore]]+0.2*StudentData[[#This Row],[StudyRisk]]+0.1*StudentData[[#This Row],[TrendRisk]]</f>
        <v>14</v>
      </c>
      <c r="AO629" t="str">
        <f>IF(StudentData[[#This Row],[RiskIndex]]&lt;=30,"Low",IF(StudentData[[#This Row],[RiskIndex]]&lt;=60,"Medium","High"))</f>
        <v>Low</v>
      </c>
      <c r="AP629">
        <f>StudentData[[#This Row],[G3]]+('Intervention Simulator'!$C$2*1.5)</f>
        <v>10</v>
      </c>
      <c r="AQ629" t="str">
        <f>IF(StudentData[[#This Row],[ProjectedGrade]]&gt;=10,"Pass","Fail")</f>
        <v>Pass</v>
      </c>
    </row>
    <row r="630" spans="1:43" x14ac:dyDescent="0.3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  <c r="AH630" t="str">
        <f>IF(StudentData[[#This Row],[G3]]&gt;=10,"Pass","Fail")</f>
        <v>Pass</v>
      </c>
      <c r="AI630">
        <f>IF(StudentData[[#This Row],[G3]]&lt;StudentData[[#This Row],[G2]],1,0)</f>
        <v>0</v>
      </c>
      <c r="AJ630">
        <f>IF(StudentData[[#This Row],[failures]]&gt;=2,100,IF(StudentData[[#This Row],[failures]]=1,60,0))</f>
        <v>0</v>
      </c>
      <c r="AK630">
        <f>IF(StudentData[[#This Row],[absences]]&gt;15,80,IF(StudentData[[#This Row],[absences]]&gt;10,50,0))</f>
        <v>0</v>
      </c>
      <c r="AL630">
        <f>IF(StudentData[[#This Row],[studytime]]=1,70,IF(StudentData[[#This Row],[studytime]]=2,40,0))</f>
        <v>0</v>
      </c>
      <c r="AM630">
        <f>IF(StudentData[[#This Row],[GradeDrop]]=1,50,0)</f>
        <v>0</v>
      </c>
      <c r="AN630">
        <f>0.4*StudentData[[#This Row],[FailureScore]]+0.3*StudentData[[#This Row],[AbsenceScore]]+0.2*StudentData[[#This Row],[StudyRisk]]+0.1*StudentData[[#This Row],[TrendRisk]]</f>
        <v>0</v>
      </c>
      <c r="AO630" t="str">
        <f>IF(StudentData[[#This Row],[RiskIndex]]&lt;=30,"Low",IF(StudentData[[#This Row],[RiskIndex]]&lt;=60,"Medium","High"))</f>
        <v>Low</v>
      </c>
      <c r="AP630">
        <f>StudentData[[#This Row],[G3]]+('Intervention Simulator'!$C$2*1.5)</f>
        <v>12</v>
      </c>
      <c r="AQ630" t="str">
        <f>IF(StudentData[[#This Row],[ProjectedGrade]]&gt;=10,"Pass","Fail")</f>
        <v>Pass</v>
      </c>
    </row>
    <row r="631" spans="1:43" x14ac:dyDescent="0.3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  <c r="AH631" t="str">
        <f>IF(StudentData[[#This Row],[G3]]&gt;=10,"Pass","Fail")</f>
        <v>Fail</v>
      </c>
      <c r="AI631">
        <f>IF(StudentData[[#This Row],[G3]]&lt;StudentData[[#This Row],[G2]],1,0)</f>
        <v>0</v>
      </c>
      <c r="AJ631">
        <f>IF(StudentData[[#This Row],[failures]]&gt;=2,100,IF(StudentData[[#This Row],[failures]]=1,60,0))</f>
        <v>0</v>
      </c>
      <c r="AK631">
        <f>IF(StudentData[[#This Row],[absences]]&gt;15,80,IF(StudentData[[#This Row],[absences]]&gt;10,50,0))</f>
        <v>0</v>
      </c>
      <c r="AL631">
        <f>IF(StudentData[[#This Row],[studytime]]=1,70,IF(StudentData[[#This Row],[studytime]]=2,40,0))</f>
        <v>70</v>
      </c>
      <c r="AM631">
        <f>IF(StudentData[[#This Row],[GradeDrop]]=1,50,0)</f>
        <v>0</v>
      </c>
      <c r="AN631">
        <f>0.4*StudentData[[#This Row],[FailureScore]]+0.3*StudentData[[#This Row],[AbsenceScore]]+0.2*StudentData[[#This Row],[StudyRisk]]+0.1*StudentData[[#This Row],[TrendRisk]]</f>
        <v>14</v>
      </c>
      <c r="AO631" t="str">
        <f>IF(StudentData[[#This Row],[RiskIndex]]&lt;=30,"Low",IF(StudentData[[#This Row],[RiskIndex]]&lt;=60,"Medium","High"))</f>
        <v>Low</v>
      </c>
      <c r="AP631">
        <f>StudentData[[#This Row],[G3]]+('Intervention Simulator'!$C$2*1.5)</f>
        <v>9</v>
      </c>
      <c r="AQ631" t="str">
        <f>IF(StudentData[[#This Row],[ProjectedGrade]]&gt;=10,"Pass","Fail")</f>
        <v>Fail</v>
      </c>
    </row>
    <row r="632" spans="1:43" x14ac:dyDescent="0.3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  <c r="AH632" t="str">
        <f>IF(StudentData[[#This Row],[G3]]&gt;=10,"Pass","Fail")</f>
        <v>Pass</v>
      </c>
      <c r="AI632">
        <f>IF(StudentData[[#This Row],[G3]]&lt;StudentData[[#This Row],[G2]],1,0)</f>
        <v>0</v>
      </c>
      <c r="AJ632">
        <f>IF(StudentData[[#This Row],[failures]]&gt;=2,100,IF(StudentData[[#This Row],[failures]]=1,60,0))</f>
        <v>0</v>
      </c>
      <c r="AK632">
        <f>IF(StudentData[[#This Row],[absences]]&gt;15,80,IF(StudentData[[#This Row],[absences]]&gt;10,50,0))</f>
        <v>0</v>
      </c>
      <c r="AL632">
        <f>IF(StudentData[[#This Row],[studytime]]=1,70,IF(StudentData[[#This Row],[studytime]]=2,40,0))</f>
        <v>0</v>
      </c>
      <c r="AM632">
        <f>IF(StudentData[[#This Row],[GradeDrop]]=1,50,0)</f>
        <v>0</v>
      </c>
      <c r="AN632">
        <f>0.4*StudentData[[#This Row],[FailureScore]]+0.3*StudentData[[#This Row],[AbsenceScore]]+0.2*StudentData[[#This Row],[StudyRisk]]+0.1*StudentData[[#This Row],[TrendRisk]]</f>
        <v>0</v>
      </c>
      <c r="AO632" t="str">
        <f>IF(StudentData[[#This Row],[RiskIndex]]&lt;=30,"Low",IF(StudentData[[#This Row],[RiskIndex]]&lt;=60,"Medium","High"))</f>
        <v>Low</v>
      </c>
      <c r="AP632">
        <f>StudentData[[#This Row],[G3]]+('Intervention Simulator'!$C$2*1.5)</f>
        <v>17</v>
      </c>
      <c r="AQ632" t="str">
        <f>IF(StudentData[[#This Row],[ProjectedGrade]]&gt;=10,"Pass","Fail")</f>
        <v>Pass</v>
      </c>
    </row>
    <row r="633" spans="1:43" x14ac:dyDescent="0.3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  <c r="AH633" t="str">
        <f>IF(StudentData[[#This Row],[G3]]&gt;=10,"Pass","Fail")</f>
        <v>Pass</v>
      </c>
      <c r="AI633">
        <f>IF(StudentData[[#This Row],[G3]]&lt;StudentData[[#This Row],[G2]],1,0)</f>
        <v>0</v>
      </c>
      <c r="AJ633">
        <f>IF(StudentData[[#This Row],[failures]]&gt;=2,100,IF(StudentData[[#This Row],[failures]]=1,60,0))</f>
        <v>0</v>
      </c>
      <c r="AK633">
        <f>IF(StudentData[[#This Row],[absences]]&gt;15,80,IF(StudentData[[#This Row],[absences]]&gt;10,50,0))</f>
        <v>0</v>
      </c>
      <c r="AL633">
        <f>IF(StudentData[[#This Row],[studytime]]=1,70,IF(StudentData[[#This Row],[studytime]]=2,40,0))</f>
        <v>0</v>
      </c>
      <c r="AM633">
        <f>IF(StudentData[[#This Row],[GradeDrop]]=1,50,0)</f>
        <v>0</v>
      </c>
      <c r="AN633">
        <f>0.4*StudentData[[#This Row],[FailureScore]]+0.3*StudentData[[#This Row],[AbsenceScore]]+0.2*StudentData[[#This Row],[StudyRisk]]+0.1*StudentData[[#This Row],[TrendRisk]]</f>
        <v>0</v>
      </c>
      <c r="AO633" t="str">
        <f>IF(StudentData[[#This Row],[RiskIndex]]&lt;=30,"Low",IF(StudentData[[#This Row],[RiskIndex]]&lt;=60,"Medium","High"))</f>
        <v>Low</v>
      </c>
      <c r="AP633">
        <f>StudentData[[#This Row],[G3]]+('Intervention Simulator'!$C$2*1.5)</f>
        <v>12</v>
      </c>
      <c r="AQ633" t="str">
        <f>IF(StudentData[[#This Row],[ProjectedGrade]]&gt;=10,"Pass","Fail")</f>
        <v>Pass</v>
      </c>
    </row>
    <row r="634" spans="1:43" x14ac:dyDescent="0.3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  <c r="AH634" t="str">
        <f>IF(StudentData[[#This Row],[G3]]&gt;=10,"Pass","Fail")</f>
        <v>Fail</v>
      </c>
      <c r="AI634">
        <f>IF(StudentData[[#This Row],[G3]]&lt;StudentData[[#This Row],[G2]],1,0)</f>
        <v>0</v>
      </c>
      <c r="AJ634">
        <f>IF(StudentData[[#This Row],[failures]]&gt;=2,100,IF(StudentData[[#This Row],[failures]]=1,60,0))</f>
        <v>60</v>
      </c>
      <c r="AK634">
        <f>IF(StudentData[[#This Row],[absences]]&gt;15,80,IF(StudentData[[#This Row],[absences]]&gt;10,50,0))</f>
        <v>0</v>
      </c>
      <c r="AL634">
        <f>IF(StudentData[[#This Row],[studytime]]=1,70,IF(StudentData[[#This Row],[studytime]]=2,40,0))</f>
        <v>40</v>
      </c>
      <c r="AM634">
        <f>IF(StudentData[[#This Row],[GradeDrop]]=1,50,0)</f>
        <v>0</v>
      </c>
      <c r="AN634">
        <f>0.4*StudentData[[#This Row],[FailureScore]]+0.3*StudentData[[#This Row],[AbsenceScore]]+0.2*StudentData[[#This Row],[StudyRisk]]+0.1*StudentData[[#This Row],[TrendRisk]]</f>
        <v>32</v>
      </c>
      <c r="AO634" t="str">
        <f>IF(StudentData[[#This Row],[RiskIndex]]&lt;=30,"Low",IF(StudentData[[#This Row],[RiskIndex]]&lt;=60,"Medium","High"))</f>
        <v>Medium</v>
      </c>
      <c r="AP634">
        <f>StudentData[[#This Row],[G3]]+('Intervention Simulator'!$C$2*1.5)</f>
        <v>9</v>
      </c>
      <c r="AQ634" t="str">
        <f>IF(StudentData[[#This Row],[ProjectedGrade]]&gt;=10,"Pass","Fail")</f>
        <v>Fail</v>
      </c>
    </row>
    <row r="635" spans="1:43" x14ac:dyDescent="0.3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  <c r="AH635" t="str">
        <f>IF(StudentData[[#This Row],[G3]]&gt;=10,"Pass","Fail")</f>
        <v>Pass</v>
      </c>
      <c r="AI635">
        <f>IF(StudentData[[#This Row],[G3]]&lt;StudentData[[#This Row],[G2]],1,0)</f>
        <v>0</v>
      </c>
      <c r="AJ635">
        <f>IF(StudentData[[#This Row],[failures]]&gt;=2,100,IF(StudentData[[#This Row],[failures]]=1,60,0))</f>
        <v>0</v>
      </c>
      <c r="AK635">
        <f>IF(StudentData[[#This Row],[absences]]&gt;15,80,IF(StudentData[[#This Row],[absences]]&gt;10,50,0))</f>
        <v>0</v>
      </c>
      <c r="AL635">
        <f>IF(StudentData[[#This Row],[studytime]]=1,70,IF(StudentData[[#This Row],[studytime]]=2,40,0))</f>
        <v>40</v>
      </c>
      <c r="AM635">
        <f>IF(StudentData[[#This Row],[GradeDrop]]=1,50,0)</f>
        <v>0</v>
      </c>
      <c r="AN635">
        <f>0.4*StudentData[[#This Row],[FailureScore]]+0.3*StudentData[[#This Row],[AbsenceScore]]+0.2*StudentData[[#This Row],[StudyRisk]]+0.1*StudentData[[#This Row],[TrendRisk]]</f>
        <v>8</v>
      </c>
      <c r="AO635" t="str">
        <f>IF(StudentData[[#This Row],[RiskIndex]]&lt;=30,"Low",IF(StudentData[[#This Row],[RiskIndex]]&lt;=60,"Medium","High"))</f>
        <v>Low</v>
      </c>
      <c r="AP635">
        <f>StudentData[[#This Row],[G3]]+('Intervention Simulator'!$C$2*1.5)</f>
        <v>14</v>
      </c>
      <c r="AQ635" t="str">
        <f>IF(StudentData[[#This Row],[ProjectedGrade]]&gt;=10,"Pass","Fail")</f>
        <v>Pass</v>
      </c>
    </row>
    <row r="636" spans="1:43" x14ac:dyDescent="0.3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  <c r="AH636" t="str">
        <f>IF(StudentData[[#This Row],[G3]]&gt;=10,"Pass","Fail")</f>
        <v>Pass</v>
      </c>
      <c r="AI636">
        <f>IF(StudentData[[#This Row],[G3]]&lt;StudentData[[#This Row],[G2]],1,0)</f>
        <v>0</v>
      </c>
      <c r="AJ636">
        <f>IF(StudentData[[#This Row],[failures]]&gt;=2,100,IF(StudentData[[#This Row],[failures]]=1,60,0))</f>
        <v>0</v>
      </c>
      <c r="AK636">
        <f>IF(StudentData[[#This Row],[absences]]&gt;15,80,IF(StudentData[[#This Row],[absences]]&gt;10,50,0))</f>
        <v>0</v>
      </c>
      <c r="AL636">
        <f>IF(StudentData[[#This Row],[studytime]]=1,70,IF(StudentData[[#This Row],[studytime]]=2,40,0))</f>
        <v>40</v>
      </c>
      <c r="AM636">
        <f>IF(StudentData[[#This Row],[GradeDrop]]=1,50,0)</f>
        <v>0</v>
      </c>
      <c r="AN636">
        <f>0.4*StudentData[[#This Row],[FailureScore]]+0.3*StudentData[[#This Row],[AbsenceScore]]+0.2*StudentData[[#This Row],[StudyRisk]]+0.1*StudentData[[#This Row],[TrendRisk]]</f>
        <v>8</v>
      </c>
      <c r="AO636" t="str">
        <f>IF(StudentData[[#This Row],[RiskIndex]]&lt;=30,"Low",IF(StudentData[[#This Row],[RiskIndex]]&lt;=60,"Medium","High"))</f>
        <v>Low</v>
      </c>
      <c r="AP636">
        <f>StudentData[[#This Row],[G3]]+('Intervention Simulator'!$C$2*1.5)</f>
        <v>16</v>
      </c>
      <c r="AQ636" t="str">
        <f>IF(StudentData[[#This Row],[ProjectedGrade]]&gt;=10,"Pass","Fail")</f>
        <v>Pass</v>
      </c>
    </row>
    <row r="637" spans="1:43" x14ac:dyDescent="0.3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  <c r="AH637" t="str">
        <f>IF(StudentData[[#This Row],[G3]]&gt;=10,"Pass","Fail")</f>
        <v>Fail</v>
      </c>
      <c r="AI637">
        <f>IF(StudentData[[#This Row],[G3]]&lt;StudentData[[#This Row],[G2]],1,0)</f>
        <v>0</v>
      </c>
      <c r="AJ637">
        <f>IF(StudentData[[#This Row],[failures]]&gt;=2,100,IF(StudentData[[#This Row],[failures]]=1,60,0))</f>
        <v>0</v>
      </c>
      <c r="AK637">
        <f>IF(StudentData[[#This Row],[absences]]&gt;15,80,IF(StudentData[[#This Row],[absences]]&gt;10,50,0))</f>
        <v>0</v>
      </c>
      <c r="AL637">
        <f>IF(StudentData[[#This Row],[studytime]]=1,70,IF(StudentData[[#This Row],[studytime]]=2,40,0))</f>
        <v>40</v>
      </c>
      <c r="AM637">
        <f>IF(StudentData[[#This Row],[GradeDrop]]=1,50,0)</f>
        <v>0</v>
      </c>
      <c r="AN637">
        <f>0.4*StudentData[[#This Row],[FailureScore]]+0.3*StudentData[[#This Row],[AbsenceScore]]+0.2*StudentData[[#This Row],[StudyRisk]]+0.1*StudentData[[#This Row],[TrendRisk]]</f>
        <v>8</v>
      </c>
      <c r="AO637" t="str">
        <f>IF(StudentData[[#This Row],[RiskIndex]]&lt;=30,"Low",IF(StudentData[[#This Row],[RiskIndex]]&lt;=60,"Medium","High"))</f>
        <v>Low</v>
      </c>
      <c r="AP637">
        <f>StudentData[[#This Row],[G3]]+('Intervention Simulator'!$C$2*1.5)</f>
        <v>9</v>
      </c>
      <c r="AQ637" t="str">
        <f>IF(StudentData[[#This Row],[ProjectedGrade]]&gt;=10,"Pass","Fail")</f>
        <v>Fail</v>
      </c>
    </row>
    <row r="638" spans="1:43" x14ac:dyDescent="0.3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  <c r="AH638" t="str">
        <f>IF(StudentData[[#This Row],[G3]]&gt;=10,"Pass","Fail")</f>
        <v>Pass</v>
      </c>
      <c r="AI638">
        <f>IF(StudentData[[#This Row],[G3]]&lt;StudentData[[#This Row],[G2]],1,0)</f>
        <v>0</v>
      </c>
      <c r="AJ638">
        <f>IF(StudentData[[#This Row],[failures]]&gt;=2,100,IF(StudentData[[#This Row],[failures]]=1,60,0))</f>
        <v>0</v>
      </c>
      <c r="AK638">
        <f>IF(StudentData[[#This Row],[absences]]&gt;15,80,IF(StudentData[[#This Row],[absences]]&gt;10,50,0))</f>
        <v>0</v>
      </c>
      <c r="AL638">
        <f>IF(StudentData[[#This Row],[studytime]]=1,70,IF(StudentData[[#This Row],[studytime]]=2,40,0))</f>
        <v>40</v>
      </c>
      <c r="AM638">
        <f>IF(StudentData[[#This Row],[GradeDrop]]=1,50,0)</f>
        <v>0</v>
      </c>
      <c r="AN638">
        <f>0.4*StudentData[[#This Row],[FailureScore]]+0.3*StudentData[[#This Row],[AbsenceScore]]+0.2*StudentData[[#This Row],[StudyRisk]]+0.1*StudentData[[#This Row],[TrendRisk]]</f>
        <v>8</v>
      </c>
      <c r="AO638" t="str">
        <f>IF(StudentData[[#This Row],[RiskIndex]]&lt;=30,"Low",IF(StudentData[[#This Row],[RiskIndex]]&lt;=60,"Medium","High"))</f>
        <v>Low</v>
      </c>
      <c r="AP638">
        <f>StudentData[[#This Row],[G3]]+('Intervention Simulator'!$C$2*1.5)</f>
        <v>19</v>
      </c>
      <c r="AQ638" t="str">
        <f>IF(StudentData[[#This Row],[ProjectedGrade]]&gt;=10,"Pass","Fail")</f>
        <v>Pass</v>
      </c>
    </row>
    <row r="639" spans="1:43" x14ac:dyDescent="0.3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  <c r="AH639" t="str">
        <f>IF(StudentData[[#This Row],[G3]]&gt;=10,"Pass","Fail")</f>
        <v>Fail</v>
      </c>
      <c r="AI639">
        <f>IF(StudentData[[#This Row],[G3]]&lt;StudentData[[#This Row],[G2]],1,0)</f>
        <v>1</v>
      </c>
      <c r="AJ639">
        <f>IF(StudentData[[#This Row],[failures]]&gt;=2,100,IF(StudentData[[#This Row],[failures]]=1,60,0))</f>
        <v>0</v>
      </c>
      <c r="AK639">
        <f>IF(StudentData[[#This Row],[absences]]&gt;15,80,IF(StudentData[[#This Row],[absences]]&gt;10,50,0))</f>
        <v>0</v>
      </c>
      <c r="AL639">
        <f>IF(StudentData[[#This Row],[studytime]]=1,70,IF(StudentData[[#This Row],[studytime]]=2,40,0))</f>
        <v>70</v>
      </c>
      <c r="AM639">
        <f>IF(StudentData[[#This Row],[GradeDrop]]=1,50,0)</f>
        <v>50</v>
      </c>
      <c r="AN639">
        <f>0.4*StudentData[[#This Row],[FailureScore]]+0.3*StudentData[[#This Row],[AbsenceScore]]+0.2*StudentData[[#This Row],[StudyRisk]]+0.1*StudentData[[#This Row],[TrendRisk]]</f>
        <v>19</v>
      </c>
      <c r="AO639" t="str">
        <f>IF(StudentData[[#This Row],[RiskIndex]]&lt;=30,"Low",IF(StudentData[[#This Row],[RiskIndex]]&lt;=60,"Medium","High"))</f>
        <v>Low</v>
      </c>
      <c r="AP639">
        <f>StudentData[[#This Row],[G3]]+('Intervention Simulator'!$C$2*1.5)</f>
        <v>0</v>
      </c>
      <c r="AQ639" t="str">
        <f>IF(StudentData[[#This Row],[ProjectedGrade]]&gt;=10,"Pass","Fail")</f>
        <v>Fail</v>
      </c>
    </row>
    <row r="640" spans="1:43" x14ac:dyDescent="0.3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  <c r="AH640" t="str">
        <f>IF(StudentData[[#This Row],[G3]]&gt;=10,"Pass","Fail")</f>
        <v>Pass</v>
      </c>
      <c r="AI640">
        <f>IF(StudentData[[#This Row],[G3]]&lt;StudentData[[#This Row],[G2]],1,0)</f>
        <v>0</v>
      </c>
      <c r="AJ640">
        <f>IF(StudentData[[#This Row],[failures]]&gt;=2,100,IF(StudentData[[#This Row],[failures]]=1,60,0))</f>
        <v>0</v>
      </c>
      <c r="AK640">
        <f>IF(StudentData[[#This Row],[absences]]&gt;15,80,IF(StudentData[[#This Row],[absences]]&gt;10,50,0))</f>
        <v>0</v>
      </c>
      <c r="AL640">
        <f>IF(StudentData[[#This Row],[studytime]]=1,70,IF(StudentData[[#This Row],[studytime]]=2,40,0))</f>
        <v>40</v>
      </c>
      <c r="AM640">
        <f>IF(StudentData[[#This Row],[GradeDrop]]=1,50,0)</f>
        <v>0</v>
      </c>
      <c r="AN640">
        <f>0.4*StudentData[[#This Row],[FailureScore]]+0.3*StudentData[[#This Row],[AbsenceScore]]+0.2*StudentData[[#This Row],[StudyRisk]]+0.1*StudentData[[#This Row],[TrendRisk]]</f>
        <v>8</v>
      </c>
      <c r="AO640" t="str">
        <f>IF(StudentData[[#This Row],[RiskIndex]]&lt;=30,"Low",IF(StudentData[[#This Row],[RiskIndex]]&lt;=60,"Medium","High"))</f>
        <v>Low</v>
      </c>
      <c r="AP640">
        <f>StudentData[[#This Row],[G3]]+('Intervention Simulator'!$C$2*1.5)</f>
        <v>16</v>
      </c>
      <c r="AQ640" t="str">
        <f>IF(StudentData[[#This Row],[ProjectedGrade]]&gt;=10,"Pass","Fail")</f>
        <v>Pass</v>
      </c>
    </row>
    <row r="641" spans="1:43" x14ac:dyDescent="0.3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  <c r="AH641" t="str">
        <f>IF(StudentData[[#This Row],[G3]]&gt;=10,"Pass","Fail")</f>
        <v>Fail</v>
      </c>
      <c r="AI641">
        <f>IF(StudentData[[#This Row],[G3]]&lt;StudentData[[#This Row],[G2]],1,0)</f>
        <v>1</v>
      </c>
      <c r="AJ641">
        <f>IF(StudentData[[#This Row],[failures]]&gt;=2,100,IF(StudentData[[#This Row],[failures]]=1,60,0))</f>
        <v>60</v>
      </c>
      <c r="AK641">
        <f>IF(StudentData[[#This Row],[absences]]&gt;15,80,IF(StudentData[[#This Row],[absences]]&gt;10,50,0))</f>
        <v>0</v>
      </c>
      <c r="AL641">
        <f>IF(StudentData[[#This Row],[studytime]]=1,70,IF(StudentData[[#This Row],[studytime]]=2,40,0))</f>
        <v>70</v>
      </c>
      <c r="AM641">
        <f>IF(StudentData[[#This Row],[GradeDrop]]=1,50,0)</f>
        <v>50</v>
      </c>
      <c r="AN641">
        <f>0.4*StudentData[[#This Row],[FailureScore]]+0.3*StudentData[[#This Row],[AbsenceScore]]+0.2*StudentData[[#This Row],[StudyRisk]]+0.1*StudentData[[#This Row],[TrendRisk]]</f>
        <v>43</v>
      </c>
      <c r="AO641" t="str">
        <f>IF(StudentData[[#This Row],[RiskIndex]]&lt;=30,"Low",IF(StudentData[[#This Row],[RiskIndex]]&lt;=60,"Medium","High"))</f>
        <v>Medium</v>
      </c>
      <c r="AP641">
        <f>StudentData[[#This Row],[G3]]+('Intervention Simulator'!$C$2*1.5)</f>
        <v>0</v>
      </c>
      <c r="AQ641" t="str">
        <f>IF(StudentData[[#This Row],[ProjectedGrade]]&gt;=10,"Pass","Fail")</f>
        <v>Fail</v>
      </c>
    </row>
    <row r="642" spans="1:43" x14ac:dyDescent="0.3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  <c r="AH642" t="str">
        <f>IF(StudentData[[#This Row],[G3]]&gt;=10,"Pass","Fail")</f>
        <v>Fail</v>
      </c>
      <c r="AI642">
        <f>IF(StudentData[[#This Row],[G3]]&lt;StudentData[[#This Row],[G2]],1,0)</f>
        <v>1</v>
      </c>
      <c r="AJ642">
        <f>IF(StudentData[[#This Row],[failures]]&gt;=2,100,IF(StudentData[[#This Row],[failures]]=1,60,0))</f>
        <v>60</v>
      </c>
      <c r="AK642">
        <f>IF(StudentData[[#This Row],[absences]]&gt;15,80,IF(StudentData[[#This Row],[absences]]&gt;10,50,0))</f>
        <v>0</v>
      </c>
      <c r="AL642">
        <f>IF(StudentData[[#This Row],[studytime]]=1,70,IF(StudentData[[#This Row],[studytime]]=2,40,0))</f>
        <v>70</v>
      </c>
      <c r="AM642">
        <f>IF(StudentData[[#This Row],[GradeDrop]]=1,50,0)</f>
        <v>50</v>
      </c>
      <c r="AN642">
        <f>0.4*StudentData[[#This Row],[FailureScore]]+0.3*StudentData[[#This Row],[AbsenceScore]]+0.2*StudentData[[#This Row],[StudyRisk]]+0.1*StudentData[[#This Row],[TrendRisk]]</f>
        <v>43</v>
      </c>
      <c r="AO642" t="str">
        <f>IF(StudentData[[#This Row],[RiskIndex]]&lt;=30,"Low",IF(StudentData[[#This Row],[RiskIndex]]&lt;=60,"Medium","High"))</f>
        <v>Medium</v>
      </c>
      <c r="AP642">
        <f>StudentData[[#This Row],[G3]]+('Intervention Simulator'!$C$2*1.5)</f>
        <v>0</v>
      </c>
      <c r="AQ642" t="str">
        <f>IF(StudentData[[#This Row],[ProjectedGrade]]&gt;=10,"Pass","Fail")</f>
        <v>Fail</v>
      </c>
    </row>
    <row r="643" spans="1:43" x14ac:dyDescent="0.3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  <c r="AH643" t="str">
        <f>IF(StudentData[[#This Row],[G3]]&gt;=10,"Pass","Fail")</f>
        <v>Pass</v>
      </c>
      <c r="AI643">
        <f>IF(StudentData[[#This Row],[G3]]&lt;StudentData[[#This Row],[G2]],1,0)</f>
        <v>1</v>
      </c>
      <c r="AJ643">
        <f>IF(StudentData[[#This Row],[failures]]&gt;=2,100,IF(StudentData[[#This Row],[failures]]=1,60,0))</f>
        <v>0</v>
      </c>
      <c r="AK643">
        <f>IF(StudentData[[#This Row],[absences]]&gt;15,80,IF(StudentData[[#This Row],[absences]]&gt;10,50,0))</f>
        <v>0</v>
      </c>
      <c r="AL643">
        <f>IF(StudentData[[#This Row],[studytime]]=1,70,IF(StudentData[[#This Row],[studytime]]=2,40,0))</f>
        <v>0</v>
      </c>
      <c r="AM643">
        <f>IF(StudentData[[#This Row],[GradeDrop]]=1,50,0)</f>
        <v>50</v>
      </c>
      <c r="AN643">
        <f>0.4*StudentData[[#This Row],[FailureScore]]+0.3*StudentData[[#This Row],[AbsenceScore]]+0.2*StudentData[[#This Row],[StudyRisk]]+0.1*StudentData[[#This Row],[TrendRisk]]</f>
        <v>5</v>
      </c>
      <c r="AO643" t="str">
        <f>IF(StudentData[[#This Row],[RiskIndex]]&lt;=30,"Low",IF(StudentData[[#This Row],[RiskIndex]]&lt;=60,"Medium","High"))</f>
        <v>Low</v>
      </c>
      <c r="AP643">
        <f>StudentData[[#This Row],[G3]]+('Intervention Simulator'!$C$2*1.5)</f>
        <v>15</v>
      </c>
      <c r="AQ643" t="str">
        <f>IF(StudentData[[#This Row],[ProjectedGrade]]&gt;=10,"Pass","Fail")</f>
        <v>Pass</v>
      </c>
    </row>
    <row r="644" spans="1:43" x14ac:dyDescent="0.3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  <c r="AH644" t="str">
        <f>IF(StudentData[[#This Row],[G3]]&gt;=10,"Pass","Fail")</f>
        <v>Pass</v>
      </c>
      <c r="AI644">
        <f>IF(StudentData[[#This Row],[G3]]&lt;StudentData[[#This Row],[G2]],1,0)</f>
        <v>0</v>
      </c>
      <c r="AJ644">
        <f>IF(StudentData[[#This Row],[failures]]&gt;=2,100,IF(StudentData[[#This Row],[failures]]=1,60,0))</f>
        <v>0</v>
      </c>
      <c r="AK644">
        <f>IF(StudentData[[#This Row],[absences]]&gt;15,80,IF(StudentData[[#This Row],[absences]]&gt;10,50,0))</f>
        <v>0</v>
      </c>
      <c r="AL644">
        <f>IF(StudentData[[#This Row],[studytime]]=1,70,IF(StudentData[[#This Row],[studytime]]=2,40,0))</f>
        <v>40</v>
      </c>
      <c r="AM644">
        <f>IF(StudentData[[#This Row],[GradeDrop]]=1,50,0)</f>
        <v>0</v>
      </c>
      <c r="AN644">
        <f>0.4*StudentData[[#This Row],[FailureScore]]+0.3*StudentData[[#This Row],[AbsenceScore]]+0.2*StudentData[[#This Row],[StudyRisk]]+0.1*StudentData[[#This Row],[TrendRisk]]</f>
        <v>8</v>
      </c>
      <c r="AO644" t="str">
        <f>IF(StudentData[[#This Row],[RiskIndex]]&lt;=30,"Low",IF(StudentData[[#This Row],[RiskIndex]]&lt;=60,"Medium","High"))</f>
        <v>Low</v>
      </c>
      <c r="AP644">
        <f>StudentData[[#This Row],[G3]]+('Intervention Simulator'!$C$2*1.5)</f>
        <v>11</v>
      </c>
      <c r="AQ644" t="str">
        <f>IF(StudentData[[#This Row],[ProjectedGrade]]&gt;=10,"Pass","Fail")</f>
        <v>Pass</v>
      </c>
    </row>
    <row r="645" spans="1:43" x14ac:dyDescent="0.3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  <c r="AH645" t="str">
        <f>IF(StudentData[[#This Row],[G3]]&gt;=10,"Pass","Fail")</f>
        <v>Pass</v>
      </c>
      <c r="AI645">
        <f>IF(StudentData[[#This Row],[G3]]&lt;StudentData[[#This Row],[G2]],1,0)</f>
        <v>0</v>
      </c>
      <c r="AJ645">
        <f>IF(StudentData[[#This Row],[failures]]&gt;=2,100,IF(StudentData[[#This Row],[failures]]=1,60,0))</f>
        <v>0</v>
      </c>
      <c r="AK645">
        <f>IF(StudentData[[#This Row],[absences]]&gt;15,80,IF(StudentData[[#This Row],[absences]]&gt;10,50,0))</f>
        <v>0</v>
      </c>
      <c r="AL645">
        <f>IF(StudentData[[#This Row],[studytime]]=1,70,IF(StudentData[[#This Row],[studytime]]=2,40,0))</f>
        <v>70</v>
      </c>
      <c r="AM645">
        <f>IF(StudentData[[#This Row],[GradeDrop]]=1,50,0)</f>
        <v>0</v>
      </c>
      <c r="AN645">
        <f>0.4*StudentData[[#This Row],[FailureScore]]+0.3*StudentData[[#This Row],[AbsenceScore]]+0.2*StudentData[[#This Row],[StudyRisk]]+0.1*StudentData[[#This Row],[TrendRisk]]</f>
        <v>14</v>
      </c>
      <c r="AO645" t="str">
        <f>IF(StudentData[[#This Row],[RiskIndex]]&lt;=30,"Low",IF(StudentData[[#This Row],[RiskIndex]]&lt;=60,"Medium","High"))</f>
        <v>Low</v>
      </c>
      <c r="AP645">
        <f>StudentData[[#This Row],[G3]]+('Intervention Simulator'!$C$2*1.5)</f>
        <v>10</v>
      </c>
      <c r="AQ645" t="str">
        <f>IF(StudentData[[#This Row],[ProjectedGrade]]&gt;=10,"Pass","Fail")</f>
        <v>Pass</v>
      </c>
    </row>
    <row r="646" spans="1:43" x14ac:dyDescent="0.3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  <c r="AH646" t="str">
        <f>IF(StudentData[[#This Row],[G3]]&gt;=10,"Pass","Fail")</f>
        <v>Pass</v>
      </c>
      <c r="AI646">
        <f>IF(StudentData[[#This Row],[G3]]&lt;StudentData[[#This Row],[G2]],1,0)</f>
        <v>1</v>
      </c>
      <c r="AJ646">
        <f>IF(StudentData[[#This Row],[failures]]&gt;=2,100,IF(StudentData[[#This Row],[failures]]=1,60,0))</f>
        <v>60</v>
      </c>
      <c r="AK646">
        <f>IF(StudentData[[#This Row],[absences]]&gt;15,80,IF(StudentData[[#This Row],[absences]]&gt;10,50,0))</f>
        <v>0</v>
      </c>
      <c r="AL646">
        <f>IF(StudentData[[#This Row],[studytime]]=1,70,IF(StudentData[[#This Row],[studytime]]=2,40,0))</f>
        <v>0</v>
      </c>
      <c r="AM646">
        <f>IF(StudentData[[#This Row],[GradeDrop]]=1,50,0)</f>
        <v>50</v>
      </c>
      <c r="AN646">
        <f>0.4*StudentData[[#This Row],[FailureScore]]+0.3*StudentData[[#This Row],[AbsenceScore]]+0.2*StudentData[[#This Row],[StudyRisk]]+0.1*StudentData[[#This Row],[TrendRisk]]</f>
        <v>29</v>
      </c>
      <c r="AO646" t="str">
        <f>IF(StudentData[[#This Row],[RiskIndex]]&lt;=30,"Low",IF(StudentData[[#This Row],[RiskIndex]]&lt;=60,"Medium","High"))</f>
        <v>Low</v>
      </c>
      <c r="AP646">
        <f>StudentData[[#This Row],[G3]]+('Intervention Simulator'!$C$2*1.5)</f>
        <v>10</v>
      </c>
      <c r="AQ646" t="str">
        <f>IF(StudentData[[#This Row],[ProjectedGrade]]&gt;=10,"Pass","Fail")</f>
        <v>Pass</v>
      </c>
    </row>
    <row r="647" spans="1:43" x14ac:dyDescent="0.3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  <c r="AH647" t="str">
        <f>IF(StudentData[[#This Row],[G3]]&gt;=10,"Pass","Fail")</f>
        <v>Pass</v>
      </c>
      <c r="AI647">
        <f>IF(StudentData[[#This Row],[G3]]&lt;StudentData[[#This Row],[G2]],1,0)</f>
        <v>0</v>
      </c>
      <c r="AJ647">
        <f>IF(StudentData[[#This Row],[failures]]&gt;=2,100,IF(StudentData[[#This Row],[failures]]=1,60,0))</f>
        <v>0</v>
      </c>
      <c r="AK647">
        <f>IF(StudentData[[#This Row],[absences]]&gt;15,80,IF(StudentData[[#This Row],[absences]]&gt;10,50,0))</f>
        <v>0</v>
      </c>
      <c r="AL647">
        <f>IF(StudentData[[#This Row],[studytime]]=1,70,IF(StudentData[[#This Row],[studytime]]=2,40,0))</f>
        <v>40</v>
      </c>
      <c r="AM647">
        <f>IF(StudentData[[#This Row],[GradeDrop]]=1,50,0)</f>
        <v>0</v>
      </c>
      <c r="AN647">
        <f>0.4*StudentData[[#This Row],[FailureScore]]+0.3*StudentData[[#This Row],[AbsenceScore]]+0.2*StudentData[[#This Row],[StudyRisk]]+0.1*StudentData[[#This Row],[TrendRisk]]</f>
        <v>8</v>
      </c>
      <c r="AO647" t="str">
        <f>IF(StudentData[[#This Row],[RiskIndex]]&lt;=30,"Low",IF(StudentData[[#This Row],[RiskIndex]]&lt;=60,"Medium","High"))</f>
        <v>Low</v>
      </c>
      <c r="AP647">
        <f>StudentData[[#This Row],[G3]]+('Intervention Simulator'!$C$2*1.5)</f>
        <v>16</v>
      </c>
      <c r="AQ647" t="str">
        <f>IF(StudentData[[#This Row],[ProjectedGrade]]&gt;=10,"Pass","Fail")</f>
        <v>Pass</v>
      </c>
    </row>
    <row r="648" spans="1:43" x14ac:dyDescent="0.3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  <c r="AH648" t="str">
        <f>IF(StudentData[[#This Row],[G3]]&gt;=10,"Pass","Fail")</f>
        <v>Fail</v>
      </c>
      <c r="AI648">
        <f>IF(StudentData[[#This Row],[G3]]&lt;StudentData[[#This Row],[G2]],1,0)</f>
        <v>1</v>
      </c>
      <c r="AJ648">
        <f>IF(StudentData[[#This Row],[failures]]&gt;=2,100,IF(StudentData[[#This Row],[failures]]=1,60,0))</f>
        <v>0</v>
      </c>
      <c r="AK648">
        <f>IF(StudentData[[#This Row],[absences]]&gt;15,80,IF(StudentData[[#This Row],[absences]]&gt;10,50,0))</f>
        <v>0</v>
      </c>
      <c r="AL648">
        <f>IF(StudentData[[#This Row],[studytime]]=1,70,IF(StudentData[[#This Row],[studytime]]=2,40,0))</f>
        <v>40</v>
      </c>
      <c r="AM648">
        <f>IF(StudentData[[#This Row],[GradeDrop]]=1,50,0)</f>
        <v>50</v>
      </c>
      <c r="AN648">
        <f>0.4*StudentData[[#This Row],[FailureScore]]+0.3*StudentData[[#This Row],[AbsenceScore]]+0.2*StudentData[[#This Row],[StudyRisk]]+0.1*StudentData[[#This Row],[TrendRisk]]</f>
        <v>13</v>
      </c>
      <c r="AO648" t="str">
        <f>IF(StudentData[[#This Row],[RiskIndex]]&lt;=30,"Low",IF(StudentData[[#This Row],[RiskIndex]]&lt;=60,"Medium","High"))</f>
        <v>Low</v>
      </c>
      <c r="AP648">
        <f>StudentData[[#This Row],[G3]]+('Intervention Simulator'!$C$2*1.5)</f>
        <v>9</v>
      </c>
      <c r="AQ648" t="str">
        <f>IF(StudentData[[#This Row],[ProjectedGrade]]&gt;=10,"Pass","Fail")</f>
        <v>Fail</v>
      </c>
    </row>
    <row r="649" spans="1:43" x14ac:dyDescent="0.3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  <c r="AH649" t="str">
        <f>IF(StudentData[[#This Row],[G3]]&gt;=10,"Pass","Fail")</f>
        <v>Pass</v>
      </c>
      <c r="AI649">
        <f>IF(StudentData[[#This Row],[G3]]&lt;StudentData[[#This Row],[G2]],1,0)</f>
        <v>0</v>
      </c>
      <c r="AJ649">
        <f>IF(StudentData[[#This Row],[failures]]&gt;=2,100,IF(StudentData[[#This Row],[failures]]=1,60,0))</f>
        <v>0</v>
      </c>
      <c r="AK649">
        <f>IF(StudentData[[#This Row],[absences]]&gt;15,80,IF(StudentData[[#This Row],[absences]]&gt;10,50,0))</f>
        <v>0</v>
      </c>
      <c r="AL649">
        <f>IF(StudentData[[#This Row],[studytime]]=1,70,IF(StudentData[[#This Row],[studytime]]=2,40,0))</f>
        <v>70</v>
      </c>
      <c r="AM649">
        <f>IF(StudentData[[#This Row],[GradeDrop]]=1,50,0)</f>
        <v>0</v>
      </c>
      <c r="AN649">
        <f>0.4*StudentData[[#This Row],[FailureScore]]+0.3*StudentData[[#This Row],[AbsenceScore]]+0.2*StudentData[[#This Row],[StudyRisk]]+0.1*StudentData[[#This Row],[TrendRisk]]</f>
        <v>14</v>
      </c>
      <c r="AO649" t="str">
        <f>IF(StudentData[[#This Row],[RiskIndex]]&lt;=30,"Low",IF(StudentData[[#This Row],[RiskIndex]]&lt;=60,"Medium","High"))</f>
        <v>Low</v>
      </c>
      <c r="AP649">
        <f>StudentData[[#This Row],[G3]]+('Intervention Simulator'!$C$2*1.5)</f>
        <v>10</v>
      </c>
      <c r="AQ649" t="str">
        <f>IF(StudentData[[#This Row],[ProjectedGrade]]&gt;=10,"Pass","Fail")</f>
        <v>Pass</v>
      </c>
    </row>
    <row r="650" spans="1:43" x14ac:dyDescent="0.3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  <c r="AH650" t="str">
        <f>IF(StudentData[[#This Row],[G3]]&gt;=10,"Pass","Fail")</f>
        <v>Pass</v>
      </c>
      <c r="AI650">
        <f>IF(StudentData[[#This Row],[G3]]&lt;StudentData[[#This Row],[G2]],1,0)</f>
        <v>0</v>
      </c>
      <c r="AJ650">
        <f>IF(StudentData[[#This Row],[failures]]&gt;=2,100,IF(StudentData[[#This Row],[failures]]=1,60,0))</f>
        <v>0</v>
      </c>
      <c r="AK650">
        <f>IF(StudentData[[#This Row],[absences]]&gt;15,80,IF(StudentData[[#This Row],[absences]]&gt;10,50,0))</f>
        <v>0</v>
      </c>
      <c r="AL650">
        <f>IF(StudentData[[#This Row],[studytime]]=1,70,IF(StudentData[[#This Row],[studytime]]=2,40,0))</f>
        <v>70</v>
      </c>
      <c r="AM650">
        <f>IF(StudentData[[#This Row],[GradeDrop]]=1,50,0)</f>
        <v>0</v>
      </c>
      <c r="AN650">
        <f>0.4*StudentData[[#This Row],[FailureScore]]+0.3*StudentData[[#This Row],[AbsenceScore]]+0.2*StudentData[[#This Row],[StudyRisk]]+0.1*StudentData[[#This Row],[TrendRisk]]</f>
        <v>14</v>
      </c>
      <c r="AO650" t="str">
        <f>IF(StudentData[[#This Row],[RiskIndex]]&lt;=30,"Low",IF(StudentData[[#This Row],[RiskIndex]]&lt;=60,"Medium","High"))</f>
        <v>Low</v>
      </c>
      <c r="AP650">
        <f>StudentData[[#This Row],[G3]]+('Intervention Simulator'!$C$2*1.5)</f>
        <v>11</v>
      </c>
      <c r="AQ650" t="str">
        <f>IF(StudentData[[#This Row],[ProjectedGrade]]&gt;=10,"Pass","Fail")</f>
        <v>Pass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1"/>
  <sheetViews>
    <sheetView showGridLines="0" workbookViewId="0">
      <selection activeCell="C13" sqref="C13"/>
    </sheetView>
  </sheetViews>
  <sheetFormatPr defaultRowHeight="14.4" x14ac:dyDescent="0.3"/>
  <cols>
    <col min="1" max="1" width="11.33203125" customWidth="1"/>
  </cols>
  <sheetData>
    <row r="2" spans="1:14" ht="23.55" customHeight="1" x14ac:dyDescent="0.45">
      <c r="A2" s="53" t="s">
        <v>62</v>
      </c>
      <c r="B2" s="54"/>
      <c r="C2" s="54"/>
      <c r="D2" s="54"/>
      <c r="E2" s="55"/>
      <c r="G2" s="59" t="s">
        <v>63</v>
      </c>
      <c r="H2" s="60"/>
      <c r="I2" s="60"/>
      <c r="J2" s="60"/>
      <c r="K2" s="61"/>
      <c r="M2" s="49" t="s">
        <v>64</v>
      </c>
      <c r="N2" s="50"/>
    </row>
    <row r="3" spans="1:14" ht="23.55" customHeight="1" x14ac:dyDescent="0.45">
      <c r="A3" s="56">
        <f>COUNTA(Student_Data!AG:AG)</f>
        <v>650</v>
      </c>
      <c r="B3" s="57"/>
      <c r="C3" s="57"/>
      <c r="D3" s="57"/>
      <c r="E3" s="58"/>
      <c r="G3" s="62">
        <f>AVERAGE(Student_Data!AG:AG)</f>
        <v>11.906009244992296</v>
      </c>
      <c r="H3" s="63"/>
      <c r="I3" s="63"/>
      <c r="J3" s="63"/>
      <c r="K3" s="64"/>
      <c r="M3" s="51">
        <f>COUNTIF(Student_Data!AH:AH,"Fail")/COUNTA(Student_Data!AG:AG)</f>
        <v>0.15384615384615385</v>
      </c>
      <c r="N3" s="52"/>
    </row>
    <row r="6" spans="1:14" x14ac:dyDescent="0.3">
      <c r="A6" s="2" t="s">
        <v>54</v>
      </c>
      <c r="B6" s="2" t="s">
        <v>65</v>
      </c>
    </row>
    <row r="7" spans="1:14" x14ac:dyDescent="0.3">
      <c r="A7" s="3" t="s">
        <v>66</v>
      </c>
      <c r="B7" s="3">
        <f>COUNTIF(Student_Data!AH:AH,"Pass")</f>
        <v>549</v>
      </c>
    </row>
    <row r="8" spans="1:14" x14ac:dyDescent="0.3">
      <c r="A8" s="3" t="s">
        <v>67</v>
      </c>
      <c r="B8" s="3">
        <f>COUNTIF(Student_Data!AH:AH,"Fail")</f>
        <v>100</v>
      </c>
    </row>
    <row r="11" spans="1:14" x14ac:dyDescent="0.3">
      <c r="A11" s="4" t="s">
        <v>68</v>
      </c>
      <c r="B11" s="4" t="s">
        <v>69</v>
      </c>
    </row>
    <row r="12" spans="1:14" x14ac:dyDescent="0.3">
      <c r="A12" s="5" t="s">
        <v>30</v>
      </c>
      <c r="B12" s="5">
        <f>AVERAGE(Student_Data!AE:AE)</f>
        <v>11.399075500770415</v>
      </c>
    </row>
    <row r="13" spans="1:14" x14ac:dyDescent="0.3">
      <c r="A13" s="5" t="s">
        <v>31</v>
      </c>
      <c r="B13" s="5">
        <f>AVERAGE(Student_Data!AF:AF)</f>
        <v>11.570107858243452</v>
      </c>
    </row>
    <row r="14" spans="1:14" x14ac:dyDescent="0.3">
      <c r="A14" s="5" t="s">
        <v>32</v>
      </c>
      <c r="B14" s="5">
        <f>AVERAGE(Student_Data!AG:AG)</f>
        <v>11.906009244992296</v>
      </c>
    </row>
    <row r="17" spans="1:2" x14ac:dyDescent="0.3">
      <c r="A17" s="6" t="s">
        <v>70</v>
      </c>
      <c r="B17" s="6" t="s">
        <v>65</v>
      </c>
    </row>
    <row r="18" spans="1:2" x14ac:dyDescent="0.3">
      <c r="A18" s="7" t="s">
        <v>71</v>
      </c>
      <c r="B18" s="7">
        <f>COUNTIFS(Student_Data!AG:AG,"&gt;=0",Student_Data!AG:AG,"&lt;=5")</f>
        <v>17</v>
      </c>
    </row>
    <row r="19" spans="1:2" x14ac:dyDescent="0.3">
      <c r="A19" s="8" t="s">
        <v>72</v>
      </c>
      <c r="B19" s="7">
        <f>COUNTIFS(Student_Data!AG:AG,"&gt;=6",Student_Data!AG:AG,"&lt;=9")</f>
        <v>83</v>
      </c>
    </row>
    <row r="20" spans="1:2" x14ac:dyDescent="0.3">
      <c r="A20" s="7" t="s">
        <v>73</v>
      </c>
      <c r="B20" s="7">
        <f>COUNTIFS(Student_Data!AG:AG,"&gt;=10",Student_Data!AG:AG,"&lt;=14")</f>
        <v>418</v>
      </c>
    </row>
    <row r="21" spans="1:2" x14ac:dyDescent="0.3">
      <c r="A21" s="7" t="s">
        <v>74</v>
      </c>
      <c r="B21" s="7">
        <f>COUNTIFS(Student_Data!AG:AG,"&gt;=15",Student_Data!AG:AG,"&lt;=20")</f>
        <v>131</v>
      </c>
    </row>
  </sheetData>
  <mergeCells count="6">
    <mergeCell ref="M2:N2"/>
    <mergeCell ref="M3:N3"/>
    <mergeCell ref="A2:E2"/>
    <mergeCell ref="A3:E3"/>
    <mergeCell ref="G2:K2"/>
    <mergeCell ref="G3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showGridLines="0" workbookViewId="0">
      <selection activeCell="B3" sqref="B3"/>
    </sheetView>
  </sheetViews>
  <sheetFormatPr defaultRowHeight="14.4" x14ac:dyDescent="0.3"/>
  <cols>
    <col min="1" max="1" width="10.109375" customWidth="1"/>
    <col min="2" max="2" width="16.77734375" customWidth="1"/>
  </cols>
  <sheetData>
    <row r="1" spans="1:14" ht="23.55" customHeight="1" x14ac:dyDescent="0.3">
      <c r="D1" s="65" t="s">
        <v>80</v>
      </c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23.55" customHeight="1" thickBot="1" x14ac:dyDescent="0.35">
      <c r="D2" s="68"/>
      <c r="E2" s="69"/>
      <c r="F2" s="69"/>
      <c r="G2" s="69"/>
      <c r="H2" s="69"/>
      <c r="I2" s="69"/>
      <c r="J2" s="69"/>
      <c r="K2" s="69"/>
      <c r="L2" s="69"/>
      <c r="M2" s="69"/>
      <c r="N2" s="70"/>
    </row>
    <row r="5" spans="1:14" x14ac:dyDescent="0.3">
      <c r="A5" s="9" t="s">
        <v>75</v>
      </c>
      <c r="B5" s="9" t="s">
        <v>76</v>
      </c>
    </row>
    <row r="6" spans="1:14" x14ac:dyDescent="0.3">
      <c r="A6" s="4" t="s">
        <v>77</v>
      </c>
      <c r="B6" s="4">
        <f>CORREL(Student_Data!AD:AD,Student_Data!AG:AG)</f>
        <v>-9.1379056438756961E-2</v>
      </c>
    </row>
    <row r="7" spans="1:14" x14ac:dyDescent="0.3">
      <c r="A7" s="4" t="s">
        <v>78</v>
      </c>
      <c r="B7" s="4">
        <f>CORREL(Student_Data!N:N,Student_Data!AG:AG)</f>
        <v>0.24978868999886106</v>
      </c>
    </row>
    <row r="8" spans="1:14" x14ac:dyDescent="0.3">
      <c r="A8" s="4" t="s">
        <v>79</v>
      </c>
      <c r="B8" s="4">
        <f>CORREL(Student_Data!O:O,Student_Data!AG:AG)</f>
        <v>-0.39331554804199043</v>
      </c>
    </row>
  </sheetData>
  <mergeCells count="1">
    <mergeCell ref="D1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9"/>
  <sheetViews>
    <sheetView showGridLines="0" tabSelected="1" workbookViewId="0">
      <selection activeCell="H22" sqref="H22"/>
    </sheetView>
  </sheetViews>
  <sheetFormatPr defaultRowHeight="14.4" x14ac:dyDescent="0.3"/>
  <cols>
    <col min="2" max="2" width="21.109375" customWidth="1"/>
    <col min="3" max="3" width="18.33203125" customWidth="1"/>
    <col min="13" max="13" width="14" customWidth="1"/>
  </cols>
  <sheetData>
    <row r="2" spans="2:15" x14ac:dyDescent="0.3">
      <c r="B2" s="71" t="s">
        <v>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x14ac:dyDescent="0.3"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2:15" ht="15" thickBot="1" x14ac:dyDescent="0.35"/>
    <row r="5" spans="2:15" x14ac:dyDescent="0.3">
      <c r="B5" s="14" t="s">
        <v>82</v>
      </c>
      <c r="C5" s="1" t="s">
        <v>87</v>
      </c>
      <c r="M5" s="10" t="s">
        <v>90</v>
      </c>
    </row>
    <row r="6" spans="2:15" ht="15" thickBot="1" x14ac:dyDescent="0.35">
      <c r="B6" s="15" t="s">
        <v>83</v>
      </c>
      <c r="C6" s="1">
        <v>6</v>
      </c>
      <c r="M6" s="11">
        <f>COUNTIF(StudentData[RiskCategory],"High")</f>
        <v>6</v>
      </c>
    </row>
    <row r="7" spans="2:15" x14ac:dyDescent="0.3">
      <c r="B7" s="15" t="s">
        <v>84</v>
      </c>
      <c r="C7" s="1">
        <v>539</v>
      </c>
    </row>
    <row r="8" spans="2:15" ht="15" thickBot="1" x14ac:dyDescent="0.35">
      <c r="B8" s="15" t="s">
        <v>85</v>
      </c>
      <c r="C8" s="1">
        <v>104</v>
      </c>
    </row>
    <row r="9" spans="2:15" x14ac:dyDescent="0.3">
      <c r="B9" s="15" t="s">
        <v>86</v>
      </c>
      <c r="C9" s="1">
        <v>649</v>
      </c>
      <c r="M9" s="12" t="s">
        <v>91</v>
      </c>
    </row>
    <row r="10" spans="2:15" ht="15" thickBot="1" x14ac:dyDescent="0.35">
      <c r="M10" s="13">
        <f>COUNTIF(StudentData[RiskCategory],"High"/COUNTA(StudentData[G3]))</f>
        <v>0</v>
      </c>
    </row>
    <row r="12" spans="2:15" x14ac:dyDescent="0.3">
      <c r="B12" s="14" t="s">
        <v>89</v>
      </c>
      <c r="C12" s="1" t="s">
        <v>88</v>
      </c>
    </row>
    <row r="13" spans="2:15" x14ac:dyDescent="0.3">
      <c r="B13" s="15" t="s">
        <v>83</v>
      </c>
      <c r="C13" s="1">
        <v>66.833333333333329</v>
      </c>
    </row>
    <row r="14" spans="2:15" x14ac:dyDescent="0.3">
      <c r="B14" s="16">
        <v>5</v>
      </c>
      <c r="C14" s="1">
        <v>74</v>
      </c>
    </row>
    <row r="15" spans="2:15" x14ac:dyDescent="0.3">
      <c r="B15" s="16">
        <v>8</v>
      </c>
      <c r="C15" s="1">
        <v>62</v>
      </c>
    </row>
    <row r="16" spans="2:15" x14ac:dyDescent="0.3">
      <c r="B16" s="16">
        <v>10</v>
      </c>
      <c r="C16" s="1">
        <v>70.5</v>
      </c>
    </row>
    <row r="17" spans="2:3" x14ac:dyDescent="0.3">
      <c r="B17" s="16">
        <v>11</v>
      </c>
      <c r="C17" s="1">
        <v>62</v>
      </c>
    </row>
    <row r="18" spans="2:3" x14ac:dyDescent="0.3">
      <c r="B18" s="16">
        <v>16</v>
      </c>
      <c r="C18" s="1">
        <v>62</v>
      </c>
    </row>
    <row r="19" spans="2:3" x14ac:dyDescent="0.3">
      <c r="B19" s="15" t="s">
        <v>86</v>
      </c>
      <c r="C19" s="1">
        <v>66.833333333333329</v>
      </c>
    </row>
  </sheetData>
  <mergeCells count="1">
    <mergeCell ref="B2:O3"/>
  </mergeCells>
  <conditionalFormatting sqref="C12:C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7"/>
  <sheetViews>
    <sheetView showGridLines="0" workbookViewId="0">
      <selection activeCell="D10" sqref="D10"/>
    </sheetView>
  </sheetViews>
  <sheetFormatPr defaultRowHeight="14.4" x14ac:dyDescent="0.3"/>
  <cols>
    <col min="2" max="2" width="27.21875" customWidth="1"/>
    <col min="3" max="3" width="18.33203125" customWidth="1"/>
  </cols>
  <sheetData>
    <row r="1" spans="2:11" ht="15" thickBot="1" x14ac:dyDescent="0.35">
      <c r="B1" s="72" t="s">
        <v>97</v>
      </c>
      <c r="C1" s="73"/>
    </row>
    <row r="2" spans="2:11" ht="26.4" thickBot="1" x14ac:dyDescent="0.55000000000000004">
      <c r="B2" s="17" t="s">
        <v>92</v>
      </c>
      <c r="C2" s="18">
        <v>0</v>
      </c>
      <c r="F2" s="74" t="s">
        <v>109</v>
      </c>
      <c r="G2" s="75"/>
      <c r="H2" s="75"/>
      <c r="I2" s="75"/>
      <c r="J2" s="75"/>
      <c r="K2" s="76"/>
    </row>
    <row r="3" spans="2:11" x14ac:dyDescent="0.3">
      <c r="B3" s="19"/>
      <c r="C3" s="20"/>
    </row>
    <row r="4" spans="2:11" x14ac:dyDescent="0.3">
      <c r="B4" s="19"/>
      <c r="C4" s="20"/>
    </row>
    <row r="5" spans="2:11" x14ac:dyDescent="0.3">
      <c r="B5" s="19" t="s">
        <v>95</v>
      </c>
      <c r="C5" s="21">
        <f>COUNTIF(Student_Data!AH:AH,"Fail")/COUNTA(Student_Data!AG:AG)</f>
        <v>0.15384615384615385</v>
      </c>
    </row>
    <row r="6" spans="2:11" ht="15" thickBot="1" x14ac:dyDescent="0.35">
      <c r="B6" s="22" t="s">
        <v>96</v>
      </c>
      <c r="C6" s="23">
        <f>COUNTIF(Student_Data!AQ:AQ,"Fail")/COUNTA(Student_Data!AG:AG)</f>
        <v>0.15384615384615385</v>
      </c>
      <c r="F6" t="s">
        <v>99</v>
      </c>
      <c r="G6" t="s">
        <v>100</v>
      </c>
    </row>
    <row r="7" spans="2:11" ht="15" thickBot="1" x14ac:dyDescent="0.35">
      <c r="F7" t="s">
        <v>101</v>
      </c>
      <c r="G7" s="24">
        <f>C5</f>
        <v>0.15384615384615385</v>
      </c>
    </row>
    <row r="8" spans="2:11" ht="15" thickBot="1" x14ac:dyDescent="0.35">
      <c r="B8" s="25" t="s">
        <v>98</v>
      </c>
      <c r="C8" s="26">
        <f>C5*0.8</f>
        <v>0.12307692307692308</v>
      </c>
      <c r="F8" t="s">
        <v>102</v>
      </c>
      <c r="G8" s="24">
        <f>C6</f>
        <v>0.15384615384615385</v>
      </c>
    </row>
    <row r="9" spans="2:11" ht="15" thickBot="1" x14ac:dyDescent="0.35">
      <c r="F9" t="s">
        <v>103</v>
      </c>
      <c r="G9" s="24">
        <f>C8</f>
        <v>0.12307692307692308</v>
      </c>
    </row>
    <row r="10" spans="2:11" ht="21.6" thickBot="1" x14ac:dyDescent="0.45">
      <c r="B10" s="77" t="s">
        <v>110</v>
      </c>
      <c r="C10" s="78"/>
    </row>
    <row r="11" spans="2:11" ht="15" thickBot="1" x14ac:dyDescent="0.35"/>
    <row r="12" spans="2:11" x14ac:dyDescent="0.3">
      <c r="B12" s="27" t="s">
        <v>104</v>
      </c>
      <c r="C12" s="28">
        <f>COUNTIF(Student_Data!AO:AO,"High")</f>
        <v>6</v>
      </c>
    </row>
    <row r="13" spans="2:11" x14ac:dyDescent="0.3">
      <c r="B13" s="29" t="s">
        <v>105</v>
      </c>
      <c r="C13" s="30">
        <v>3000</v>
      </c>
    </row>
    <row r="14" spans="2:11" ht="15" thickBot="1" x14ac:dyDescent="0.35">
      <c r="B14" s="31" t="s">
        <v>106</v>
      </c>
      <c r="C14" s="32">
        <f>C12*C13</f>
        <v>18000</v>
      </c>
    </row>
    <row r="15" spans="2:11" ht="15" thickBot="1" x14ac:dyDescent="0.35"/>
    <row r="16" spans="2:11" x14ac:dyDescent="0.3">
      <c r="B16" s="33" t="s">
        <v>107</v>
      </c>
      <c r="C16" s="34">
        <f>COUNTIF(Student_Data!AH:AH,"Fail")-COUNTIF(Student_Data!AQ:AQ,"Fail")</f>
        <v>0</v>
      </c>
    </row>
    <row r="17" spans="2:3" ht="15" thickBot="1" x14ac:dyDescent="0.35">
      <c r="B17" s="35" t="s">
        <v>108</v>
      </c>
      <c r="C17" s="36" t="str">
        <f>IF(C16=0,"No improvement yet",C14/C16)</f>
        <v>No improvement yet</v>
      </c>
    </row>
  </sheetData>
  <mergeCells count="3">
    <mergeCell ref="B1:C1"/>
    <mergeCell ref="F2:K2"/>
    <mergeCell ref="B10:C10"/>
  </mergeCells>
  <dataValidations count="1">
    <dataValidation type="whole" allowBlank="1" showInputMessage="1" showErrorMessage="1" sqref="C2" xr:uid="{00000000-0002-0000-0400-000000000000}">
      <formula1>0</formula1>
      <formula2>2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3"/>
  <sheetViews>
    <sheetView showGridLines="0" workbookViewId="0">
      <selection activeCell="J9" sqref="J9"/>
    </sheetView>
  </sheetViews>
  <sheetFormatPr defaultRowHeight="14.4" x14ac:dyDescent="0.3"/>
  <cols>
    <col min="7" max="7" width="19.109375" customWidth="1"/>
  </cols>
  <sheetData>
    <row r="1" spans="2:7" ht="15" thickBot="1" x14ac:dyDescent="0.35"/>
    <row r="2" spans="2:7" ht="26.4" thickBot="1" x14ac:dyDescent="0.55000000000000004">
      <c r="B2" s="46" t="s">
        <v>111</v>
      </c>
      <c r="C2" s="47"/>
      <c r="D2" s="47"/>
      <c r="E2" s="47"/>
      <c r="F2" s="47"/>
      <c r="G2" s="48"/>
    </row>
    <row r="4" spans="2:7" ht="15" thickBot="1" x14ac:dyDescent="0.35"/>
    <row r="5" spans="2:7" x14ac:dyDescent="0.3">
      <c r="B5" s="37" t="s">
        <v>112</v>
      </c>
      <c r="C5" s="38"/>
      <c r="D5" s="38"/>
      <c r="E5" s="38"/>
      <c r="F5" s="38"/>
      <c r="G5" s="39"/>
    </row>
    <row r="6" spans="2:7" x14ac:dyDescent="0.3">
      <c r="B6" s="40" t="s">
        <v>124</v>
      </c>
      <c r="C6" s="41"/>
      <c r="D6" s="41"/>
      <c r="E6" s="41"/>
      <c r="F6" s="41"/>
      <c r="G6" s="42"/>
    </row>
    <row r="7" spans="2:7" x14ac:dyDescent="0.3">
      <c r="B7" s="40" t="s">
        <v>125</v>
      </c>
      <c r="C7" s="41"/>
      <c r="D7" s="41"/>
      <c r="E7" s="41"/>
      <c r="F7" s="41"/>
      <c r="G7" s="42"/>
    </row>
    <row r="8" spans="2:7" x14ac:dyDescent="0.3">
      <c r="B8" s="40" t="s">
        <v>126</v>
      </c>
      <c r="C8" s="41"/>
      <c r="D8" s="41"/>
      <c r="E8" s="41"/>
      <c r="F8" s="41"/>
      <c r="G8" s="42"/>
    </row>
    <row r="9" spans="2:7" x14ac:dyDescent="0.3">
      <c r="B9" s="40" t="s">
        <v>127</v>
      </c>
      <c r="C9" s="41"/>
      <c r="D9" s="41"/>
      <c r="E9" s="41"/>
      <c r="F9" s="41"/>
      <c r="G9" s="42"/>
    </row>
    <row r="10" spans="2:7" ht="15" thickBot="1" x14ac:dyDescent="0.35">
      <c r="B10" s="43" t="s">
        <v>128</v>
      </c>
      <c r="C10" s="44"/>
      <c r="D10" s="44"/>
      <c r="E10" s="44"/>
      <c r="F10" s="44"/>
      <c r="G10" s="45"/>
    </row>
    <row r="11" spans="2:7" ht="15" thickBot="1" x14ac:dyDescent="0.35"/>
    <row r="12" spans="2:7" x14ac:dyDescent="0.3">
      <c r="B12" s="37" t="s">
        <v>113</v>
      </c>
      <c r="C12" s="38"/>
      <c r="D12" s="38"/>
      <c r="E12" s="38"/>
      <c r="F12" s="38"/>
      <c r="G12" s="39"/>
    </row>
    <row r="13" spans="2:7" x14ac:dyDescent="0.3">
      <c r="B13" s="40" t="s">
        <v>114</v>
      </c>
      <c r="C13" s="41"/>
      <c r="D13" s="41"/>
      <c r="E13" s="41"/>
      <c r="F13" s="41"/>
      <c r="G13" s="42"/>
    </row>
    <row r="14" spans="2:7" x14ac:dyDescent="0.3">
      <c r="B14" s="40" t="s">
        <v>115</v>
      </c>
      <c r="C14" s="41"/>
      <c r="D14" s="41"/>
      <c r="E14" s="41"/>
      <c r="F14" s="41"/>
      <c r="G14" s="42"/>
    </row>
    <row r="15" spans="2:7" x14ac:dyDescent="0.3">
      <c r="B15" s="40" t="s">
        <v>116</v>
      </c>
      <c r="C15" s="41"/>
      <c r="D15" s="41"/>
      <c r="E15" s="41"/>
      <c r="F15" s="41"/>
      <c r="G15" s="42"/>
    </row>
    <row r="16" spans="2:7" x14ac:dyDescent="0.3">
      <c r="B16" s="40" t="s">
        <v>117</v>
      </c>
      <c r="C16" s="41"/>
      <c r="D16" s="41"/>
      <c r="E16" s="41"/>
      <c r="F16" s="41"/>
      <c r="G16" s="42"/>
    </row>
    <row r="17" spans="2:8" ht="15" thickBot="1" x14ac:dyDescent="0.35">
      <c r="B17" s="43" t="s">
        <v>118</v>
      </c>
      <c r="C17" s="44"/>
      <c r="D17" s="44"/>
      <c r="E17" s="44"/>
      <c r="F17" s="44"/>
      <c r="G17" s="45"/>
    </row>
    <row r="18" spans="2:8" ht="15" thickBot="1" x14ac:dyDescent="0.35"/>
    <row r="19" spans="2:8" x14ac:dyDescent="0.3">
      <c r="B19" s="37" t="s">
        <v>119</v>
      </c>
      <c r="C19" s="38"/>
      <c r="D19" s="38"/>
      <c r="E19" s="38"/>
      <c r="F19" s="38"/>
      <c r="G19" s="38"/>
      <c r="H19" s="39"/>
    </row>
    <row r="20" spans="2:8" x14ac:dyDescent="0.3">
      <c r="B20" s="40" t="s">
        <v>120</v>
      </c>
      <c r="C20" s="41"/>
      <c r="D20" s="41"/>
      <c r="E20" s="41"/>
      <c r="F20" s="41"/>
      <c r="G20" s="41"/>
      <c r="H20" s="42"/>
    </row>
    <row r="21" spans="2:8" x14ac:dyDescent="0.3">
      <c r="B21" s="40" t="s">
        <v>121</v>
      </c>
      <c r="C21" s="41"/>
      <c r="D21" s="41"/>
      <c r="E21" s="41"/>
      <c r="F21" s="41"/>
      <c r="G21" s="41"/>
      <c r="H21" s="42"/>
    </row>
    <row r="22" spans="2:8" x14ac:dyDescent="0.3">
      <c r="B22" s="40" t="s">
        <v>122</v>
      </c>
      <c r="C22" s="41"/>
      <c r="D22" s="41"/>
      <c r="E22" s="41"/>
      <c r="F22" s="41"/>
      <c r="G22" s="41"/>
      <c r="H22" s="42"/>
    </row>
    <row r="23" spans="2:8" ht="15" thickBot="1" x14ac:dyDescent="0.35">
      <c r="B23" s="43" t="s">
        <v>123</v>
      </c>
      <c r="C23" s="44"/>
      <c r="D23" s="44"/>
      <c r="E23" s="44"/>
      <c r="F23" s="44"/>
      <c r="G23" s="44"/>
      <c r="H23" s="45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Student_Data</vt:lpstr>
      <vt:lpstr>Academic_Overview</vt:lpstr>
      <vt:lpstr>Risk Factor</vt:lpstr>
      <vt:lpstr>Performance Risk Index</vt:lpstr>
      <vt:lpstr>Intervention Simulator</vt:lpstr>
      <vt:lpstr>Ethics &amp; Safeguards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Ayushi Kaul</cp:lastModifiedBy>
  <dcterms:created xsi:type="dcterms:W3CDTF">2026-02-16T15:43:13Z</dcterms:created>
  <dcterms:modified xsi:type="dcterms:W3CDTF">2026-02-17T12:31:10Z</dcterms:modified>
</cp:coreProperties>
</file>